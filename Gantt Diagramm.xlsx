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C:\Users\clair\Documents\Studium\Semester 3\Sys I 1.3.1\Zeiterfassungapp\"/>
    </mc:Choice>
  </mc:AlternateContent>
  <xr:revisionPtr revIDLastSave="0" documentId="13_ncr:1_{7218670B-4A0B-4D50-AECD-DC0373CC702D}" xr6:coauthVersionLast="47" xr6:coauthVersionMax="47" xr10:uidLastSave="{00000000-0000-0000-0000-000000000000}"/>
  <bookViews>
    <workbookView xWindow="57480" yWindow="-120" windowWidth="29040" windowHeight="15720" xr2:uid="{00000000-000D-0000-FFFF-FFFF00000000}"/>
  </bookViews>
  <sheets>
    <sheet name="Projektplan" sheetId="1" r:id="rId1"/>
    <sheet name="Datenblatt" sheetId="11" r:id="rId2"/>
  </sheets>
  <definedNames>
    <definedName name="_FilterDatabase" localSheetId="0" hidden="1">Projektplan!#REF!</definedName>
    <definedName name="Print_Titles" localSheetId="0">Projektplan!$3:$3</definedName>
    <definedName name="Projekt_Start" localSheetId="0">Projektplan!#REF!</definedName>
    <definedName name="Scrollschrittweite" localSheetId="0">Projektplan!$C$6</definedName>
    <definedName name="Spaltentitel1">Projektplan!#REF!</definedName>
    <definedName name="Spaltentitel2">#REF!</definedName>
    <definedName name="Spaltentitel3">#REF!</definedName>
    <definedName name="Startdatum">Projektplan!$C$3</definedName>
    <definedName name="Titel">Projektplan!$C$1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J4" i="1" l="1"/>
  <c r="J38" i="1"/>
  <c r="J37" i="1"/>
  <c r="J16" i="1"/>
  <c r="J7" i="1"/>
  <c r="J36" i="1"/>
  <c r="J26" i="1"/>
  <c r="J15" i="1"/>
  <c r="K5" i="1"/>
  <c r="J27" i="1"/>
  <c r="J35" i="1"/>
  <c r="J25" i="1"/>
  <c r="J12" i="1"/>
  <c r="J6" i="1"/>
  <c r="J28" i="1"/>
  <c r="J17" i="1"/>
  <c r="J24" i="1"/>
  <c r="J33" i="1"/>
  <c r="J11" i="1"/>
  <c r="J32" i="1"/>
  <c r="J21" i="1"/>
  <c r="J8" i="1"/>
  <c r="J34" i="1"/>
  <c r="J22" i="1"/>
  <c r="J29" i="1"/>
  <c r="J18" i="1"/>
  <c r="K4" i="1" l="1"/>
  <c r="K38" i="1"/>
  <c r="K32" i="1"/>
  <c r="K21" i="1"/>
  <c r="K11" i="1"/>
  <c r="K28" i="1"/>
  <c r="K24" i="1"/>
  <c r="K7" i="1"/>
  <c r="K35" i="1"/>
  <c r="K15" i="1"/>
  <c r="K6" i="1"/>
  <c r="K27" i="1"/>
  <c r="K8" i="1"/>
  <c r="K18" i="1"/>
  <c r="K33" i="1"/>
  <c r="K25" i="1"/>
  <c r="K12" i="1"/>
  <c r="K37" i="1"/>
  <c r="K26" i="1"/>
  <c r="K16" i="1"/>
  <c r="L5" i="1"/>
  <c r="K17" i="1"/>
  <c r="K36" i="1"/>
  <c r="K29" i="1"/>
  <c r="K22" i="1"/>
  <c r="K34" i="1"/>
  <c r="L38" i="1" l="1"/>
  <c r="L4" i="1"/>
  <c r="L32" i="1"/>
  <c r="L6" i="1"/>
  <c r="L17" i="1"/>
  <c r="L29" i="1"/>
  <c r="L25" i="1"/>
  <c r="L35" i="1"/>
  <c r="L7" i="1"/>
  <c r="M5" i="1"/>
  <c r="L24" i="1"/>
  <c r="L34" i="1"/>
  <c r="L16" i="1"/>
  <c r="L26" i="1"/>
  <c r="L11" i="1"/>
  <c r="L33" i="1"/>
  <c r="L27" i="1"/>
  <c r="L21" i="1"/>
  <c r="L37" i="1"/>
  <c r="L28" i="1"/>
  <c r="L12" i="1"/>
  <c r="L36" i="1"/>
  <c r="L18" i="1"/>
  <c r="L8" i="1"/>
  <c r="L22" i="1"/>
  <c r="L15" i="1"/>
  <c r="M38" i="1" l="1"/>
  <c r="M4" i="1"/>
  <c r="M6" i="1"/>
  <c r="M21" i="1"/>
  <c r="M12" i="1"/>
  <c r="M32" i="1"/>
  <c r="M29" i="1"/>
  <c r="M24" i="1"/>
  <c r="M17" i="1"/>
  <c r="N5" i="1"/>
  <c r="M36" i="1"/>
  <c r="M15" i="1"/>
  <c r="M35" i="1"/>
  <c r="M26" i="1"/>
  <c r="M18" i="1"/>
  <c r="M28" i="1"/>
  <c r="M11" i="1"/>
  <c r="M25" i="1"/>
  <c r="M8" i="1"/>
  <c r="M27" i="1"/>
  <c r="M16" i="1"/>
  <c r="M37" i="1"/>
  <c r="M34" i="1"/>
  <c r="M33" i="1"/>
  <c r="M22" i="1"/>
  <c r="M7" i="1"/>
  <c r="J3" i="1" l="1"/>
  <c r="N38" i="1"/>
  <c r="N8" i="1"/>
  <c r="N4" i="1"/>
  <c r="N26" i="1"/>
  <c r="N35" i="1"/>
  <c r="O5" i="1"/>
  <c r="N22" i="1"/>
  <c r="N37" i="1"/>
  <c r="N28" i="1"/>
  <c r="N36" i="1"/>
  <c r="N25" i="1"/>
  <c r="N32" i="1"/>
  <c r="N24" i="1"/>
  <c r="N21" i="1"/>
  <c r="N33" i="1"/>
  <c r="N18" i="1"/>
  <c r="N12" i="1"/>
  <c r="N29" i="1"/>
  <c r="N17" i="1"/>
  <c r="N27" i="1"/>
  <c r="N15" i="1"/>
  <c r="N11" i="1"/>
  <c r="N6" i="1"/>
  <c r="N34" i="1"/>
  <c r="N16" i="1"/>
  <c r="N7" i="1"/>
  <c r="P5" i="1" l="1"/>
  <c r="P12" i="1" s="1"/>
  <c r="O38" i="1"/>
  <c r="O35" i="1"/>
  <c r="O24" i="1"/>
  <c r="O18" i="1"/>
  <c r="O17" i="1"/>
  <c r="O32" i="1"/>
  <c r="O36" i="1"/>
  <c r="O33" i="1"/>
  <c r="O11" i="1"/>
  <c r="O37" i="1"/>
  <c r="O27" i="1"/>
  <c r="O16" i="1"/>
  <c r="O25" i="1"/>
  <c r="O8" i="1"/>
  <c r="O28" i="1"/>
  <c r="O12" i="1"/>
  <c r="O29" i="1"/>
  <c r="O26" i="1"/>
  <c r="O6" i="1"/>
  <c r="O4" i="1"/>
  <c r="O34" i="1"/>
  <c r="O15" i="1"/>
  <c r="O22" i="1"/>
  <c r="O21" i="1"/>
  <c r="O7" i="1"/>
  <c r="Q5" i="1" l="1"/>
  <c r="P29" i="1"/>
  <c r="P8" i="1"/>
  <c r="P34" i="1"/>
  <c r="P15" i="1"/>
  <c r="P7" i="1"/>
  <c r="P32" i="1"/>
  <c r="P4" i="1"/>
  <c r="P21" i="1"/>
  <c r="P6" i="1"/>
  <c r="P22" i="1"/>
  <c r="P26" i="1"/>
  <c r="P35" i="1"/>
  <c r="P24" i="1"/>
  <c r="P18" i="1"/>
  <c r="P27" i="1"/>
  <c r="P36" i="1"/>
  <c r="P28" i="1"/>
  <c r="P17" i="1"/>
  <c r="P37" i="1"/>
  <c r="P25" i="1"/>
  <c r="P11" i="1"/>
  <c r="P33" i="1"/>
  <c r="P16" i="1"/>
  <c r="P38" i="1"/>
  <c r="Q24" i="1"/>
  <c r="Q25" i="1"/>
  <c r="Q16" i="1" l="1"/>
  <c r="Q17" i="1"/>
  <c r="Q35" i="1"/>
  <c r="Q12" i="1"/>
  <c r="Q37" i="1"/>
  <c r="Q36" i="1"/>
  <c r="R5" i="1"/>
  <c r="Q28" i="1"/>
  <c r="Q18" i="1"/>
  <c r="Q34" i="1"/>
  <c r="Q11" i="1"/>
  <c r="Q6" i="1"/>
  <c r="Q29" i="1"/>
  <c r="Q21" i="1"/>
  <c r="Q27" i="1"/>
  <c r="Q22" i="1"/>
  <c r="Q8" i="1"/>
  <c r="Q38" i="1"/>
  <c r="Q33" i="1"/>
  <c r="Q26" i="1"/>
  <c r="Q7" i="1"/>
  <c r="Q32" i="1"/>
  <c r="Q15" i="1"/>
  <c r="Q4" i="1"/>
  <c r="R11" i="1" l="1"/>
  <c r="R35" i="1"/>
  <c r="R33" i="1"/>
  <c r="R16" i="1"/>
  <c r="R29" i="1"/>
  <c r="R8" i="1"/>
  <c r="R4" i="1"/>
  <c r="R26" i="1"/>
  <c r="R7" i="1"/>
  <c r="R24" i="1"/>
  <c r="R12" i="1"/>
  <c r="S5" i="1"/>
  <c r="R34" i="1"/>
  <c r="R18" i="1"/>
  <c r="R6" i="1"/>
  <c r="R36" i="1"/>
  <c r="R25" i="1"/>
  <c r="R38" i="1"/>
  <c r="R32" i="1"/>
  <c r="R15" i="1"/>
  <c r="R37" i="1"/>
  <c r="R22" i="1"/>
  <c r="R27" i="1"/>
  <c r="R21" i="1"/>
  <c r="R28" i="1"/>
  <c r="R17" i="1"/>
  <c r="S28" i="1" l="1"/>
  <c r="S26" i="1"/>
  <c r="S11" i="1"/>
  <c r="S4" i="1"/>
  <c r="S33" i="1"/>
  <c r="S32" i="1"/>
  <c r="S27" i="1"/>
  <c r="S16" i="1"/>
  <c r="S22" i="1"/>
  <c r="S7" i="1"/>
  <c r="S12" i="1"/>
  <c r="S29" i="1"/>
  <c r="S6" i="1"/>
  <c r="S17" i="1"/>
  <c r="S21" i="1"/>
  <c r="S18" i="1"/>
  <c r="S36" i="1"/>
  <c r="S15" i="1"/>
  <c r="S35" i="1"/>
  <c r="S8" i="1"/>
  <c r="S38" i="1"/>
  <c r="S37" i="1"/>
  <c r="S25" i="1"/>
  <c r="T5" i="1"/>
  <c r="S34" i="1"/>
  <c r="S24" i="1"/>
  <c r="O3" i="1"/>
  <c r="T33" i="1" l="1"/>
  <c r="T18" i="1"/>
  <c r="T26" i="1"/>
  <c r="T8" i="1"/>
  <c r="T28" i="1"/>
  <c r="T11" i="1"/>
  <c r="T17" i="1"/>
  <c r="T37" i="1"/>
  <c r="T25" i="1"/>
  <c r="U5" i="1"/>
  <c r="T34" i="1"/>
  <c r="T15" i="1"/>
  <c r="T6" i="1"/>
  <c r="T36" i="1"/>
  <c r="T24" i="1"/>
  <c r="T4" i="1"/>
  <c r="T27" i="1"/>
  <c r="T16" i="1"/>
  <c r="T32" i="1"/>
  <c r="T7" i="1"/>
  <c r="T38" i="1"/>
  <c r="T29" i="1"/>
  <c r="T21" i="1"/>
  <c r="T35" i="1"/>
  <c r="T22" i="1"/>
  <c r="T12" i="1"/>
  <c r="V5" i="1" l="1"/>
  <c r="U6" i="1"/>
  <c r="U22" i="1"/>
  <c r="U34" i="1"/>
  <c r="U36" i="1"/>
  <c r="U17" i="1"/>
  <c r="U24" i="1"/>
  <c r="U38" i="1"/>
  <c r="U25" i="1"/>
  <c r="U18" i="1"/>
  <c r="U37" i="1"/>
  <c r="U29" i="1"/>
  <c r="U7" i="1"/>
  <c r="U4" i="1"/>
  <c r="U33" i="1"/>
  <c r="U21" i="1"/>
  <c r="U27" i="1"/>
  <c r="U12" i="1"/>
  <c r="U11" i="1"/>
  <c r="U32" i="1"/>
  <c r="U16" i="1"/>
  <c r="U26" i="1"/>
  <c r="U15" i="1"/>
  <c r="U35" i="1"/>
  <c r="U28" i="1"/>
  <c r="U8" i="1"/>
  <c r="V4" i="1"/>
  <c r="V38" i="1"/>
  <c r="V6" i="1"/>
  <c r="W5" i="1"/>
  <c r="V7" i="1"/>
  <c r="V8" i="1"/>
  <c r="V17" i="1"/>
  <c r="V18" i="1"/>
  <c r="V16" i="1"/>
  <c r="V11" i="1"/>
  <c r="V15" i="1"/>
  <c r="V12" i="1"/>
  <c r="V21" i="1"/>
  <c r="V22" i="1"/>
  <c r="V24" i="1"/>
  <c r="V25" i="1"/>
  <c r="V29" i="1"/>
  <c r="V34" i="1"/>
  <c r="V28" i="1"/>
  <c r="V26" i="1"/>
  <c r="V27" i="1"/>
  <c r="V35" i="1"/>
  <c r="V33" i="1"/>
  <c r="V32" i="1"/>
  <c r="V36" i="1"/>
  <c r="V37" i="1"/>
  <c r="W38" i="1" l="1"/>
  <c r="W4" i="1"/>
  <c r="W6" i="1"/>
  <c r="X5" i="1"/>
  <c r="W7" i="1"/>
  <c r="W8" i="1"/>
  <c r="W12" i="1"/>
  <c r="W16" i="1"/>
  <c r="W15" i="1"/>
  <c r="W17" i="1"/>
  <c r="W11" i="1"/>
  <c r="W18" i="1"/>
  <c r="W21" i="1"/>
  <c r="W22" i="1"/>
  <c r="W24" i="1"/>
  <c r="W27" i="1"/>
  <c r="W25" i="1"/>
  <c r="W28" i="1"/>
  <c r="W26" i="1"/>
  <c r="W33" i="1"/>
  <c r="W34" i="1"/>
  <c r="W29" i="1"/>
  <c r="W32" i="1"/>
  <c r="W35" i="1"/>
  <c r="W37" i="1"/>
  <c r="W36" i="1"/>
  <c r="T3" i="1" l="1"/>
  <c r="X38" i="1"/>
  <c r="X6" i="1"/>
  <c r="X4" i="1"/>
  <c r="Y5" i="1"/>
  <c r="X8" i="1"/>
  <c r="X7" i="1"/>
  <c r="X11" i="1"/>
  <c r="X15" i="1"/>
  <c r="X17" i="1"/>
  <c r="X16" i="1"/>
  <c r="X12" i="1"/>
  <c r="X27" i="1"/>
  <c r="X18" i="1"/>
  <c r="X21" i="1"/>
  <c r="X26" i="1"/>
  <c r="X22" i="1"/>
  <c r="X25" i="1"/>
  <c r="X28" i="1"/>
  <c r="X32" i="1"/>
  <c r="X33" i="1"/>
  <c r="X34" i="1"/>
  <c r="X29" i="1"/>
  <c r="X37" i="1"/>
  <c r="X36" i="1"/>
  <c r="X35" i="1"/>
  <c r="X24" i="1"/>
  <c r="Y38" i="1" l="1"/>
  <c r="Y6" i="1"/>
  <c r="Y4" i="1"/>
  <c r="Z5" i="1"/>
  <c r="Y7" i="1"/>
  <c r="Y12" i="1"/>
  <c r="Y15" i="1"/>
  <c r="Y17" i="1"/>
  <c r="Y11" i="1"/>
  <c r="Y26" i="1"/>
  <c r="Y16" i="1"/>
  <c r="Y8" i="1"/>
  <c r="Y18" i="1"/>
  <c r="Y21" i="1"/>
  <c r="Y27" i="1"/>
  <c r="Y24" i="1"/>
  <c r="Y32" i="1"/>
  <c r="Y28" i="1"/>
  <c r="Y33" i="1"/>
  <c r="Y22" i="1"/>
  <c r="Y25" i="1"/>
  <c r="Y36" i="1"/>
  <c r="Y37" i="1"/>
  <c r="Y34" i="1"/>
  <c r="Y35" i="1"/>
  <c r="Y29" i="1"/>
  <c r="Z4" i="1" l="1"/>
  <c r="Z38" i="1"/>
  <c r="Z6" i="1"/>
  <c r="AA5" i="1"/>
  <c r="Z12" i="1"/>
  <c r="Z15" i="1"/>
  <c r="Z7" i="1"/>
  <c r="Z8" i="1"/>
  <c r="Z11" i="1"/>
  <c r="Z25" i="1"/>
  <c r="Z16" i="1"/>
  <c r="Z17" i="1"/>
  <c r="Z18" i="1"/>
  <c r="Z22" i="1"/>
  <c r="Z24" i="1"/>
  <c r="Z21" i="1"/>
  <c r="Z26" i="1"/>
  <c r="Z27" i="1"/>
  <c r="Z32" i="1"/>
  <c r="Z28" i="1"/>
  <c r="Z33" i="1"/>
  <c r="Z29" i="1"/>
  <c r="Z36" i="1"/>
  <c r="Z37" i="1"/>
  <c r="Z34" i="1"/>
  <c r="Z35" i="1"/>
  <c r="AA4" i="1" l="1"/>
  <c r="AA38" i="1"/>
  <c r="AA6" i="1"/>
  <c r="AB5" i="1"/>
  <c r="AA11" i="1"/>
  <c r="AA12" i="1"/>
  <c r="AA7" i="1"/>
  <c r="AA8" i="1"/>
  <c r="AA16" i="1"/>
  <c r="AA22" i="1"/>
  <c r="AA15" i="1"/>
  <c r="AA24" i="1"/>
  <c r="AA25" i="1"/>
  <c r="AA21" i="1"/>
  <c r="AA29" i="1"/>
  <c r="AA27" i="1"/>
  <c r="AA18" i="1"/>
  <c r="AA32" i="1"/>
  <c r="AA26" i="1"/>
  <c r="AA28" i="1"/>
  <c r="AA33" i="1"/>
  <c r="AA17" i="1"/>
  <c r="AA34" i="1"/>
  <c r="AA35" i="1"/>
  <c r="AA36" i="1"/>
  <c r="AA37" i="1"/>
  <c r="AB38" i="1" l="1"/>
  <c r="AB6" i="1"/>
  <c r="AB4" i="1"/>
  <c r="AC5" i="1"/>
  <c r="AB11" i="1"/>
  <c r="AB7" i="1"/>
  <c r="AB12" i="1"/>
  <c r="AB21" i="1"/>
  <c r="AB16" i="1"/>
  <c r="AB15" i="1"/>
  <c r="AB8" i="1"/>
  <c r="AB22" i="1"/>
  <c r="AB24" i="1"/>
  <c r="AB25" i="1"/>
  <c r="AB17" i="1"/>
  <c r="AB18" i="1"/>
  <c r="AB28" i="1"/>
  <c r="AB26" i="1"/>
  <c r="AB27" i="1"/>
  <c r="AB29" i="1"/>
  <c r="AB32" i="1"/>
  <c r="AB34" i="1"/>
  <c r="AB35" i="1"/>
  <c r="AB36" i="1"/>
  <c r="AB37" i="1"/>
  <c r="AB33" i="1"/>
  <c r="AC4" i="1" l="1"/>
  <c r="AC38" i="1"/>
  <c r="Y3" i="1"/>
  <c r="AC6" i="1"/>
  <c r="AD5" i="1"/>
  <c r="AC8" i="1"/>
  <c r="AC7" i="1"/>
  <c r="AC11" i="1"/>
  <c r="AC18" i="1"/>
  <c r="AC12" i="1"/>
  <c r="AC16" i="1"/>
  <c r="AC15" i="1"/>
  <c r="AC17" i="1"/>
  <c r="AC21" i="1"/>
  <c r="AC22" i="1"/>
  <c r="AC24" i="1"/>
  <c r="AC26" i="1"/>
  <c r="AC35" i="1"/>
  <c r="AC27" i="1"/>
  <c r="AC29" i="1"/>
  <c r="AC28" i="1"/>
  <c r="AC32" i="1"/>
  <c r="AC25" i="1"/>
  <c r="AC34" i="1"/>
  <c r="AC36" i="1"/>
  <c r="AC37" i="1"/>
  <c r="AC33" i="1"/>
  <c r="AD38" i="1" l="1"/>
  <c r="AD4" i="1"/>
  <c r="AD6" i="1"/>
  <c r="AE5" i="1"/>
  <c r="AD7" i="1"/>
  <c r="AD8" i="1"/>
  <c r="AD15" i="1"/>
  <c r="AD17" i="1"/>
  <c r="AD11" i="1"/>
  <c r="AD18" i="1"/>
  <c r="AD12" i="1"/>
  <c r="AD16" i="1"/>
  <c r="AD21" i="1"/>
  <c r="AD22" i="1"/>
  <c r="AD24" i="1"/>
  <c r="AD25" i="1"/>
  <c r="AD29" i="1"/>
  <c r="AD34" i="1"/>
  <c r="AD27" i="1"/>
  <c r="AD26" i="1"/>
  <c r="AD32" i="1"/>
  <c r="AD28" i="1"/>
  <c r="AD35" i="1"/>
  <c r="AD33" i="1"/>
  <c r="AD36" i="1"/>
  <c r="AD37" i="1"/>
  <c r="AE4" i="1" l="1"/>
  <c r="AE38" i="1"/>
  <c r="AE6" i="1"/>
  <c r="AF5" i="1"/>
  <c r="AE7" i="1"/>
  <c r="AE16" i="1"/>
  <c r="AE8" i="1"/>
  <c r="AE17" i="1"/>
  <c r="AE11" i="1"/>
  <c r="AE12" i="1"/>
  <c r="AE15" i="1"/>
  <c r="AE18" i="1"/>
  <c r="AE21" i="1"/>
  <c r="AE22" i="1"/>
  <c r="AE24" i="1"/>
  <c r="AE28" i="1"/>
  <c r="AE25" i="1"/>
  <c r="AE33" i="1"/>
  <c r="AE34" i="1"/>
  <c r="AE29" i="1"/>
  <c r="AE27" i="1"/>
  <c r="AE32" i="1"/>
  <c r="AE35" i="1"/>
  <c r="AE37" i="1"/>
  <c r="AE36" i="1"/>
  <c r="AE26" i="1"/>
  <c r="AF4" i="1" l="1"/>
  <c r="AF38" i="1"/>
  <c r="AF6" i="1"/>
  <c r="AG5" i="1"/>
  <c r="AF8" i="1"/>
  <c r="AF15" i="1"/>
  <c r="AF7" i="1"/>
  <c r="AF17" i="1"/>
  <c r="AF11" i="1"/>
  <c r="AF12" i="1"/>
  <c r="AF16" i="1"/>
  <c r="AF27" i="1"/>
  <c r="AF18" i="1"/>
  <c r="AF21" i="1"/>
  <c r="AF22" i="1"/>
  <c r="AF25" i="1"/>
  <c r="AF24" i="1"/>
  <c r="AF28" i="1"/>
  <c r="AF26" i="1"/>
  <c r="AF32" i="1"/>
  <c r="AF33" i="1"/>
  <c r="AF34" i="1"/>
  <c r="AF29" i="1"/>
  <c r="AF37" i="1"/>
  <c r="AF35" i="1"/>
  <c r="AF36" i="1"/>
  <c r="AG4" i="1" l="1"/>
  <c r="AG38" i="1"/>
  <c r="AG6" i="1"/>
  <c r="AH5" i="1"/>
  <c r="AG7" i="1"/>
  <c r="AG12" i="1"/>
  <c r="AG8" i="1"/>
  <c r="AG17" i="1"/>
  <c r="AG11" i="1"/>
  <c r="AG26" i="1"/>
  <c r="AG18" i="1"/>
  <c r="AG15" i="1"/>
  <c r="AG16" i="1"/>
  <c r="AG21" i="1"/>
  <c r="AG27" i="1"/>
  <c r="AG25" i="1"/>
  <c r="AG32" i="1"/>
  <c r="AG33" i="1"/>
  <c r="AG22" i="1"/>
  <c r="AG29" i="1"/>
  <c r="AG24" i="1"/>
  <c r="AG28" i="1"/>
  <c r="AG36" i="1"/>
  <c r="AG37" i="1"/>
  <c r="AG34" i="1"/>
  <c r="AG35" i="1"/>
  <c r="AH38" i="1" l="1"/>
  <c r="AH4" i="1"/>
  <c r="AD3" i="1"/>
  <c r="AH6" i="1"/>
  <c r="AI5" i="1"/>
  <c r="AH12" i="1"/>
  <c r="AH15" i="1"/>
  <c r="AH11" i="1"/>
  <c r="AH8" i="1"/>
  <c r="AH7" i="1"/>
  <c r="AH25" i="1"/>
  <c r="AH17" i="1"/>
  <c r="AH18" i="1"/>
  <c r="AH16" i="1"/>
  <c r="AH24" i="1"/>
  <c r="AH26" i="1"/>
  <c r="AH27" i="1"/>
  <c r="AH22" i="1"/>
  <c r="AH28" i="1"/>
  <c r="AH21" i="1"/>
  <c r="AH32" i="1"/>
  <c r="AH33" i="1"/>
  <c r="AH29" i="1"/>
  <c r="AH36" i="1"/>
  <c r="AH37" i="1"/>
  <c r="AH34" i="1"/>
  <c r="AH35" i="1"/>
  <c r="AI38" i="1" l="1"/>
  <c r="AI6" i="1"/>
  <c r="AI4" i="1"/>
  <c r="AJ5" i="1"/>
  <c r="AI11" i="1"/>
  <c r="AI12" i="1"/>
  <c r="AI8" i="1"/>
  <c r="AI7" i="1"/>
  <c r="AI22" i="1"/>
  <c r="AI15" i="1"/>
  <c r="AI24" i="1"/>
  <c r="AI25" i="1"/>
  <c r="AI17" i="1"/>
  <c r="AI18" i="1"/>
  <c r="AI16" i="1"/>
  <c r="AI29" i="1"/>
  <c r="AI26" i="1"/>
  <c r="AI21" i="1"/>
  <c r="AI28" i="1"/>
  <c r="AI32" i="1"/>
  <c r="AI27" i="1"/>
  <c r="AI33" i="1"/>
  <c r="AI36" i="1"/>
  <c r="AI37" i="1"/>
  <c r="AI35" i="1"/>
  <c r="AI34" i="1"/>
  <c r="AJ4" i="1" l="1"/>
  <c r="AJ38" i="1"/>
  <c r="AJ6" i="1"/>
  <c r="AK5" i="1"/>
  <c r="AJ11" i="1"/>
  <c r="AJ7" i="1"/>
  <c r="AJ15" i="1"/>
  <c r="AJ16" i="1"/>
  <c r="AJ21" i="1"/>
  <c r="AJ8" i="1"/>
  <c r="AJ12" i="1"/>
  <c r="AJ24" i="1"/>
  <c r="AJ25" i="1"/>
  <c r="AJ17" i="1"/>
  <c r="AJ18" i="1"/>
  <c r="AJ22" i="1"/>
  <c r="AJ28" i="1"/>
  <c r="AJ27" i="1"/>
  <c r="AJ32" i="1"/>
  <c r="AJ26" i="1"/>
  <c r="AJ33" i="1"/>
  <c r="AJ35" i="1"/>
  <c r="AJ36" i="1"/>
  <c r="AJ37" i="1"/>
  <c r="AJ29" i="1"/>
  <c r="AJ34" i="1"/>
  <c r="AK4" i="1" l="1"/>
  <c r="AK38" i="1"/>
  <c r="AK6" i="1"/>
  <c r="AL5" i="1"/>
  <c r="AK8" i="1"/>
  <c r="AK12" i="1"/>
  <c r="AK18" i="1"/>
  <c r="AK15" i="1"/>
  <c r="AK16" i="1"/>
  <c r="AK7" i="1"/>
  <c r="AK11" i="1"/>
  <c r="AK22" i="1"/>
  <c r="AK24" i="1"/>
  <c r="AK17" i="1"/>
  <c r="AK21" i="1"/>
  <c r="AK26" i="1"/>
  <c r="AK27" i="1"/>
  <c r="AK25" i="1"/>
  <c r="AK35" i="1"/>
  <c r="AK28" i="1"/>
  <c r="AK32" i="1"/>
  <c r="AK29" i="1"/>
  <c r="AK33" i="1"/>
  <c r="AK36" i="1"/>
  <c r="AK34" i="1"/>
  <c r="AK37" i="1"/>
  <c r="AL4" i="1" l="1"/>
  <c r="AL38" i="1"/>
  <c r="AL6" i="1"/>
  <c r="AM5" i="1"/>
  <c r="AL7" i="1"/>
  <c r="AL8" i="1"/>
  <c r="AL11" i="1"/>
  <c r="AL17" i="1"/>
  <c r="AL18" i="1"/>
  <c r="AL15" i="1"/>
  <c r="AL16" i="1"/>
  <c r="AL21" i="1"/>
  <c r="AL22" i="1"/>
  <c r="AL12" i="1"/>
  <c r="AL24" i="1"/>
  <c r="AL25" i="1"/>
  <c r="AL29" i="1"/>
  <c r="AL26" i="1"/>
  <c r="AL34" i="1"/>
  <c r="AL28" i="1"/>
  <c r="AL27" i="1"/>
  <c r="AL35" i="1"/>
  <c r="AL33" i="1"/>
  <c r="AL32" i="1"/>
  <c r="AL36" i="1"/>
  <c r="AL37" i="1"/>
  <c r="AM4" i="1" l="1"/>
  <c r="AM38" i="1"/>
  <c r="AI3" i="1"/>
  <c r="AM6" i="1"/>
  <c r="AN5" i="1"/>
  <c r="AM7" i="1"/>
  <c r="AM15" i="1"/>
  <c r="AM16" i="1"/>
  <c r="AM8" i="1"/>
  <c r="AM17" i="1"/>
  <c r="AM12" i="1"/>
  <c r="AM11" i="1"/>
  <c r="AM21" i="1"/>
  <c r="AM22" i="1"/>
  <c r="AM24" i="1"/>
  <c r="AM18" i="1"/>
  <c r="AM25" i="1"/>
  <c r="AM28" i="1"/>
  <c r="AM26" i="1"/>
  <c r="AM29" i="1"/>
  <c r="AM33" i="1"/>
  <c r="AM34" i="1"/>
  <c r="AM35" i="1"/>
  <c r="AM27" i="1"/>
  <c r="AM32" i="1"/>
  <c r="AM37" i="1"/>
  <c r="AM36" i="1"/>
  <c r="AN38" i="1" l="1"/>
  <c r="AN4" i="1"/>
  <c r="AN6" i="1"/>
  <c r="AO5" i="1"/>
  <c r="AN8" i="1"/>
  <c r="AN7" i="1"/>
  <c r="AN12" i="1"/>
  <c r="AN17" i="1"/>
  <c r="AN15" i="1"/>
  <c r="AN16" i="1"/>
  <c r="AN11" i="1"/>
  <c r="AN27" i="1"/>
  <c r="AN21" i="1"/>
  <c r="AN22" i="1"/>
  <c r="AN18" i="1"/>
  <c r="AN25" i="1"/>
  <c r="AN28" i="1"/>
  <c r="AN24" i="1"/>
  <c r="AN32" i="1"/>
  <c r="AN26" i="1"/>
  <c r="AN29" i="1"/>
  <c r="AN33" i="1"/>
  <c r="AN34" i="1"/>
  <c r="AN37" i="1"/>
  <c r="AN35" i="1"/>
  <c r="AN36" i="1"/>
  <c r="AO4" i="1" l="1"/>
  <c r="AO38" i="1"/>
  <c r="AO6" i="1"/>
  <c r="AP5" i="1"/>
  <c r="AO7" i="1"/>
  <c r="AO8" i="1"/>
  <c r="AO11" i="1"/>
  <c r="AO12" i="1"/>
  <c r="AO17" i="1"/>
  <c r="AO15" i="1"/>
  <c r="AO16" i="1"/>
  <c r="AO18" i="1"/>
  <c r="AO26" i="1"/>
  <c r="AO21" i="1"/>
  <c r="AO22" i="1"/>
  <c r="AO24" i="1"/>
  <c r="AO25" i="1"/>
  <c r="AO32" i="1"/>
  <c r="AO29" i="1"/>
  <c r="AO33" i="1"/>
  <c r="AO28" i="1"/>
  <c r="AO27" i="1"/>
  <c r="AO34" i="1"/>
  <c r="AO36" i="1"/>
  <c r="AO37" i="1"/>
  <c r="AO35" i="1"/>
  <c r="AP38" i="1" l="1"/>
  <c r="AP6" i="1"/>
  <c r="AP4" i="1"/>
  <c r="AQ5" i="1"/>
  <c r="AP12" i="1"/>
  <c r="AP15" i="1"/>
  <c r="AP7" i="1"/>
  <c r="AP11" i="1"/>
  <c r="AP8" i="1"/>
  <c r="AP25" i="1"/>
  <c r="AP18" i="1"/>
  <c r="AP21" i="1"/>
  <c r="AP17" i="1"/>
  <c r="AP24" i="1"/>
  <c r="AP22" i="1"/>
  <c r="AP27" i="1"/>
  <c r="AP16" i="1"/>
  <c r="AP26" i="1"/>
  <c r="AP32" i="1"/>
  <c r="AP29" i="1"/>
  <c r="AP33" i="1"/>
  <c r="AP28" i="1"/>
  <c r="AP34" i="1"/>
  <c r="AP36" i="1"/>
  <c r="AP37" i="1"/>
  <c r="AP35" i="1"/>
  <c r="AQ4" i="1" l="1"/>
  <c r="AQ38" i="1"/>
  <c r="AQ6" i="1"/>
  <c r="AR5" i="1"/>
  <c r="AQ11" i="1"/>
  <c r="AQ12" i="1"/>
  <c r="AQ7" i="1"/>
  <c r="AQ8" i="1"/>
  <c r="AQ22" i="1"/>
  <c r="AQ15" i="1"/>
  <c r="AQ24" i="1"/>
  <c r="AQ25" i="1"/>
  <c r="AQ18" i="1"/>
  <c r="AQ16" i="1"/>
  <c r="AQ26" i="1"/>
  <c r="AQ29" i="1"/>
  <c r="AQ27" i="1"/>
  <c r="AQ21" i="1"/>
  <c r="AQ17" i="1"/>
  <c r="AQ32" i="1"/>
  <c r="AQ33" i="1"/>
  <c r="AQ34" i="1"/>
  <c r="AQ36" i="1"/>
  <c r="AQ28" i="1"/>
  <c r="AQ37" i="1"/>
  <c r="AQ35" i="1"/>
  <c r="AR38" i="1" l="1"/>
  <c r="AR4" i="1"/>
  <c r="AN3" i="1"/>
  <c r="AR6" i="1"/>
  <c r="AS5" i="1"/>
  <c r="AR11" i="1"/>
  <c r="AR7" i="1"/>
  <c r="AR21" i="1"/>
  <c r="AR12" i="1"/>
  <c r="AR8" i="1"/>
  <c r="AR16" i="1"/>
  <c r="AR24" i="1"/>
  <c r="AR18" i="1"/>
  <c r="AR15" i="1"/>
  <c r="AR17" i="1"/>
  <c r="AR28" i="1"/>
  <c r="AR22" i="1"/>
  <c r="AR26" i="1"/>
  <c r="AR27" i="1"/>
  <c r="AR25" i="1"/>
  <c r="AR29" i="1"/>
  <c r="AR32" i="1"/>
  <c r="AR33" i="1"/>
  <c r="AR34" i="1"/>
  <c r="AR36" i="1"/>
  <c r="AR37" i="1"/>
  <c r="AR35" i="1"/>
  <c r="AS38" i="1" l="1"/>
  <c r="AS4" i="1"/>
  <c r="AS6" i="1"/>
  <c r="AT5" i="1"/>
  <c r="AS8" i="1"/>
  <c r="AS12" i="1"/>
  <c r="AS16" i="1"/>
  <c r="AS18" i="1"/>
  <c r="AS11" i="1"/>
  <c r="AS7" i="1"/>
  <c r="AS15" i="1"/>
  <c r="AS17" i="1"/>
  <c r="AS24" i="1"/>
  <c r="AS22" i="1"/>
  <c r="AS27" i="1"/>
  <c r="AS25" i="1"/>
  <c r="AS35" i="1"/>
  <c r="AS21" i="1"/>
  <c r="AS26" i="1"/>
  <c r="AS29" i="1"/>
  <c r="AS32" i="1"/>
  <c r="AS28" i="1"/>
  <c r="AS33" i="1"/>
  <c r="AS34" i="1"/>
  <c r="AS36" i="1"/>
  <c r="AS37" i="1"/>
  <c r="AT38" i="1" l="1"/>
  <c r="AT6" i="1"/>
  <c r="AT4" i="1"/>
  <c r="AU5" i="1"/>
  <c r="AT7" i="1"/>
  <c r="AT8" i="1"/>
  <c r="AT11" i="1"/>
  <c r="AT15" i="1"/>
  <c r="AT17" i="1"/>
  <c r="AT16" i="1"/>
  <c r="AT18" i="1"/>
  <c r="AT12" i="1"/>
  <c r="AT22" i="1"/>
  <c r="AT24" i="1"/>
  <c r="AT25" i="1"/>
  <c r="AT21" i="1"/>
  <c r="AT26" i="1"/>
  <c r="AT29" i="1"/>
  <c r="AT27" i="1"/>
  <c r="AT28" i="1"/>
  <c r="AT34" i="1"/>
  <c r="AT35" i="1"/>
  <c r="AT32" i="1"/>
  <c r="AT37" i="1"/>
  <c r="AT33" i="1"/>
  <c r="AT36" i="1"/>
  <c r="AU4" i="1" l="1"/>
  <c r="AU38" i="1"/>
  <c r="AU6" i="1"/>
  <c r="AV5" i="1"/>
  <c r="AU7" i="1"/>
  <c r="AU16" i="1"/>
  <c r="AU12" i="1"/>
  <c r="AU8" i="1"/>
  <c r="AU15" i="1"/>
  <c r="AU17" i="1"/>
  <c r="AU11" i="1"/>
  <c r="AU21" i="1"/>
  <c r="AU22" i="1"/>
  <c r="AU18" i="1"/>
  <c r="AU24" i="1"/>
  <c r="AU25" i="1"/>
  <c r="AU28" i="1"/>
  <c r="AU26" i="1"/>
  <c r="AU33" i="1"/>
  <c r="AU27" i="1"/>
  <c r="AU34" i="1"/>
  <c r="AU35" i="1"/>
  <c r="AU29" i="1"/>
  <c r="AU37" i="1"/>
  <c r="AU32" i="1"/>
  <c r="AU36" i="1"/>
  <c r="AV38" i="1" l="1"/>
  <c r="AV6" i="1"/>
  <c r="AV4" i="1"/>
  <c r="AW5" i="1"/>
  <c r="AV8" i="1"/>
  <c r="AV15" i="1"/>
  <c r="AV11" i="1"/>
  <c r="AV7" i="1"/>
  <c r="AV16" i="1"/>
  <c r="AV17" i="1"/>
  <c r="AV12" i="1"/>
  <c r="AV27" i="1"/>
  <c r="AV21" i="1"/>
  <c r="AV22" i="1"/>
  <c r="AV18" i="1"/>
  <c r="AV24" i="1"/>
  <c r="AV25" i="1"/>
  <c r="AV28" i="1"/>
  <c r="AV32" i="1"/>
  <c r="AV33" i="1"/>
  <c r="AV34" i="1"/>
  <c r="AV26" i="1"/>
  <c r="AV29" i="1"/>
  <c r="AV37" i="1"/>
  <c r="AV35" i="1"/>
  <c r="AV36" i="1"/>
  <c r="AS3" i="1" l="1"/>
  <c r="AW38" i="1"/>
  <c r="AW6" i="1"/>
  <c r="AW4" i="1"/>
  <c r="AX5" i="1"/>
  <c r="AW7" i="1"/>
  <c r="AW8" i="1"/>
  <c r="AW15" i="1"/>
  <c r="AW16" i="1"/>
  <c r="AW17" i="1"/>
  <c r="AW11" i="1"/>
  <c r="AW12" i="1"/>
  <c r="AW26" i="1"/>
  <c r="AW21" i="1"/>
  <c r="AW22" i="1"/>
  <c r="AW18" i="1"/>
  <c r="AW24" i="1"/>
  <c r="AW29" i="1"/>
  <c r="AW28" i="1"/>
  <c r="AW32" i="1"/>
  <c r="AW27" i="1"/>
  <c r="AW33" i="1"/>
  <c r="AW25" i="1"/>
  <c r="AW36" i="1"/>
  <c r="AW37" i="1"/>
  <c r="AW35" i="1"/>
  <c r="AW34" i="1"/>
  <c r="AX38" i="1" l="1"/>
  <c r="AX6" i="1"/>
  <c r="AX4" i="1"/>
  <c r="AY5" i="1"/>
  <c r="AX12" i="1"/>
  <c r="AX7" i="1"/>
  <c r="AX15" i="1"/>
  <c r="AX8" i="1"/>
  <c r="AX16" i="1"/>
  <c r="AX11" i="1"/>
  <c r="AX25" i="1"/>
  <c r="AX17" i="1"/>
  <c r="AX21" i="1"/>
  <c r="AX22" i="1"/>
  <c r="AX18" i="1"/>
  <c r="AX24" i="1"/>
  <c r="AX29" i="1"/>
  <c r="AX28" i="1"/>
  <c r="AX32" i="1"/>
  <c r="AX27" i="1"/>
  <c r="AX33" i="1"/>
  <c r="AX26" i="1"/>
  <c r="AX36" i="1"/>
  <c r="AX37" i="1"/>
  <c r="AX35" i="1"/>
  <c r="AX34" i="1"/>
  <c r="AY38" i="1" l="1"/>
  <c r="AY6" i="1"/>
  <c r="AY4" i="1"/>
  <c r="AZ5" i="1"/>
  <c r="AY11" i="1"/>
  <c r="AY12" i="1"/>
  <c r="AY8" i="1"/>
  <c r="AY22" i="1"/>
  <c r="AY15" i="1"/>
  <c r="AY18" i="1"/>
  <c r="AY24" i="1"/>
  <c r="AY16" i="1"/>
  <c r="AY25" i="1"/>
  <c r="AY7" i="1"/>
  <c r="AY17" i="1"/>
  <c r="AY21" i="1"/>
  <c r="AY27" i="1"/>
  <c r="AY29" i="1"/>
  <c r="AY26" i="1"/>
  <c r="AY28" i="1"/>
  <c r="AY32" i="1"/>
  <c r="AY33" i="1"/>
  <c r="AY36" i="1"/>
  <c r="AY37" i="1"/>
  <c r="AY34" i="1"/>
  <c r="AY35" i="1"/>
  <c r="AZ4" i="1" l="1"/>
  <c r="AZ38" i="1"/>
  <c r="AZ6" i="1"/>
  <c r="BA5" i="1"/>
  <c r="AZ11" i="1"/>
  <c r="AZ7" i="1"/>
  <c r="AZ8" i="1"/>
  <c r="AZ21" i="1"/>
  <c r="AZ15" i="1"/>
  <c r="AZ18" i="1"/>
  <c r="AZ24" i="1"/>
  <c r="AZ16" i="1"/>
  <c r="AZ12" i="1"/>
  <c r="AZ17" i="1"/>
  <c r="AZ26" i="1"/>
  <c r="AZ28" i="1"/>
  <c r="AZ27" i="1"/>
  <c r="AZ25" i="1"/>
  <c r="AZ29" i="1"/>
  <c r="AZ32" i="1"/>
  <c r="AZ22" i="1"/>
  <c r="AZ34" i="1"/>
  <c r="AZ36" i="1"/>
  <c r="AZ37" i="1"/>
  <c r="AZ33" i="1"/>
  <c r="AZ35" i="1"/>
  <c r="BA4" i="1" l="1"/>
  <c r="BA38" i="1"/>
  <c r="BA6" i="1"/>
  <c r="BB5" i="1"/>
  <c r="BA8" i="1"/>
  <c r="BA7" i="1"/>
  <c r="BA18" i="1"/>
  <c r="BA12" i="1"/>
  <c r="BA11" i="1"/>
  <c r="BA24" i="1"/>
  <c r="BA16" i="1"/>
  <c r="BA17" i="1"/>
  <c r="BA15" i="1"/>
  <c r="BA26" i="1"/>
  <c r="BA22" i="1"/>
  <c r="BA25" i="1"/>
  <c r="BA35" i="1"/>
  <c r="BA21" i="1"/>
  <c r="BA29" i="1"/>
  <c r="BA27" i="1"/>
  <c r="BA28" i="1"/>
  <c r="BA32" i="1"/>
  <c r="BA34" i="1"/>
  <c r="BA36" i="1"/>
  <c r="BA33" i="1"/>
  <c r="BA37" i="1"/>
  <c r="BB4" i="1" l="1"/>
  <c r="BB38" i="1"/>
  <c r="AX3" i="1"/>
  <c r="BB6" i="1"/>
  <c r="BC5" i="1"/>
  <c r="BB7" i="1"/>
  <c r="BB8" i="1"/>
  <c r="BB12" i="1"/>
  <c r="BB16" i="1"/>
  <c r="BB17" i="1"/>
  <c r="BB18" i="1"/>
  <c r="BB11" i="1"/>
  <c r="BB15" i="1"/>
  <c r="BB24" i="1"/>
  <c r="BB25" i="1"/>
  <c r="BB22" i="1"/>
  <c r="BB27" i="1"/>
  <c r="BB29" i="1"/>
  <c r="BB21" i="1"/>
  <c r="BB34" i="1"/>
  <c r="BB26" i="1"/>
  <c r="BB28" i="1"/>
  <c r="BB33" i="1"/>
  <c r="BB32" i="1"/>
  <c r="BB35" i="1"/>
  <c r="BB36" i="1"/>
  <c r="BB37" i="1"/>
  <c r="BC38" i="1" l="1"/>
  <c r="BC4" i="1"/>
  <c r="BC6" i="1"/>
  <c r="BD5" i="1"/>
  <c r="BC7" i="1"/>
  <c r="BC12" i="1"/>
  <c r="BC16" i="1"/>
  <c r="BC11" i="1"/>
  <c r="BC15" i="1"/>
  <c r="BC17" i="1"/>
  <c r="BC8" i="1"/>
  <c r="BC22" i="1"/>
  <c r="BC18" i="1"/>
  <c r="BC24" i="1"/>
  <c r="BC21" i="1"/>
  <c r="BC26" i="1"/>
  <c r="BC28" i="1"/>
  <c r="BC27" i="1"/>
  <c r="BC33" i="1"/>
  <c r="BC34" i="1"/>
  <c r="BC25" i="1"/>
  <c r="BC29" i="1"/>
  <c r="BC32" i="1"/>
  <c r="BC35" i="1"/>
  <c r="BC37" i="1"/>
  <c r="BC36" i="1"/>
  <c r="BD4" i="1" l="1"/>
  <c r="BD38" i="1"/>
  <c r="BD6" i="1"/>
  <c r="BE5" i="1"/>
  <c r="BD8" i="1"/>
  <c r="BD11" i="1"/>
  <c r="BD15" i="1"/>
  <c r="BD7" i="1"/>
  <c r="BD12" i="1"/>
  <c r="BD16" i="1"/>
  <c r="BD17" i="1"/>
  <c r="BD21" i="1"/>
  <c r="BD27" i="1"/>
  <c r="BD22" i="1"/>
  <c r="BD18" i="1"/>
  <c r="BD26" i="1"/>
  <c r="BD28" i="1"/>
  <c r="BD32" i="1"/>
  <c r="BD24" i="1"/>
  <c r="BD33" i="1"/>
  <c r="BD25" i="1"/>
  <c r="BD29" i="1"/>
  <c r="BD37" i="1"/>
  <c r="BD35" i="1"/>
  <c r="BD34" i="1"/>
  <c r="BD36" i="1"/>
  <c r="BE38" i="1" l="1"/>
  <c r="BE6" i="1"/>
  <c r="BE4" i="1"/>
  <c r="BF5" i="1"/>
  <c r="BE7" i="1"/>
  <c r="BE12" i="1"/>
  <c r="BE8" i="1"/>
  <c r="BE11" i="1"/>
  <c r="BE15" i="1"/>
  <c r="BE16" i="1"/>
  <c r="BE17" i="1"/>
  <c r="BE26" i="1"/>
  <c r="BE21" i="1"/>
  <c r="BE22" i="1"/>
  <c r="BE18" i="1"/>
  <c r="BE24" i="1"/>
  <c r="BE25" i="1"/>
  <c r="BE32" i="1"/>
  <c r="BE33" i="1"/>
  <c r="BE27" i="1"/>
  <c r="BE29" i="1"/>
  <c r="BE36" i="1"/>
  <c r="BE37" i="1"/>
  <c r="BE35" i="1"/>
  <c r="BE34" i="1"/>
  <c r="BE28" i="1"/>
  <c r="BF4" i="1" l="1"/>
  <c r="BF38" i="1"/>
  <c r="BF6" i="1"/>
  <c r="BG5" i="1"/>
  <c r="BF12" i="1"/>
  <c r="BF11" i="1"/>
  <c r="BF7" i="1"/>
  <c r="BF15" i="1"/>
  <c r="BF16" i="1"/>
  <c r="BF25" i="1"/>
  <c r="BF21" i="1"/>
  <c r="BF22" i="1"/>
  <c r="BF8" i="1"/>
  <c r="BF17" i="1"/>
  <c r="BF18" i="1"/>
  <c r="BF24" i="1"/>
  <c r="BF32" i="1"/>
  <c r="BF33" i="1"/>
  <c r="BF28" i="1"/>
  <c r="BF29" i="1"/>
  <c r="BF36" i="1"/>
  <c r="BF37" i="1"/>
  <c r="BF35" i="1"/>
  <c r="BF27" i="1"/>
  <c r="BF34" i="1"/>
  <c r="BF26" i="1"/>
  <c r="BG4" i="1" l="1"/>
  <c r="BG38" i="1"/>
  <c r="BG6" i="1"/>
  <c r="BC3" i="1"/>
  <c r="BH5" i="1"/>
  <c r="BG11" i="1"/>
  <c r="BG12" i="1"/>
  <c r="BG8" i="1"/>
  <c r="BG22" i="1"/>
  <c r="BG15" i="1"/>
  <c r="BG16" i="1"/>
  <c r="BG7" i="1"/>
  <c r="BG24" i="1"/>
  <c r="BG25" i="1"/>
  <c r="BG21" i="1"/>
  <c r="BG17" i="1"/>
  <c r="BG29" i="1"/>
  <c r="BG28" i="1"/>
  <c r="BG18" i="1"/>
  <c r="BG32" i="1"/>
  <c r="BG33" i="1"/>
  <c r="BG26" i="1"/>
  <c r="BG27" i="1"/>
  <c r="BG36" i="1"/>
  <c r="BG37" i="1"/>
  <c r="BG35" i="1"/>
  <c r="BG34" i="1"/>
  <c r="BH38" i="1" l="1"/>
  <c r="BH4" i="1"/>
  <c r="BH6" i="1"/>
  <c r="BI5" i="1"/>
  <c r="BH11" i="1"/>
  <c r="BH8" i="1"/>
  <c r="BH7" i="1"/>
  <c r="BH21" i="1"/>
  <c r="BH12" i="1"/>
  <c r="BH15" i="1"/>
  <c r="BH24" i="1"/>
  <c r="BH16" i="1"/>
  <c r="BH22" i="1"/>
  <c r="BH17" i="1"/>
  <c r="BH18" i="1"/>
  <c r="BH25" i="1"/>
  <c r="BH27" i="1"/>
  <c r="BH28" i="1"/>
  <c r="BH26" i="1"/>
  <c r="BH29" i="1"/>
  <c r="BH32" i="1"/>
  <c r="BH33" i="1"/>
  <c r="BH36" i="1"/>
  <c r="BH37" i="1"/>
  <c r="BH35" i="1"/>
  <c r="BH34" i="1"/>
  <c r="BI4" i="1" l="1"/>
  <c r="BI38" i="1"/>
  <c r="BI6" i="1"/>
  <c r="BJ5" i="1"/>
  <c r="BI8" i="1"/>
  <c r="BI7" i="1"/>
  <c r="BI18" i="1"/>
  <c r="BI11" i="1"/>
  <c r="BI12" i="1"/>
  <c r="BI15" i="1"/>
  <c r="BI17" i="1"/>
  <c r="BI24" i="1"/>
  <c r="BI21" i="1"/>
  <c r="BI16" i="1"/>
  <c r="BI26" i="1"/>
  <c r="BI25" i="1"/>
  <c r="BI27" i="1"/>
  <c r="BI22" i="1"/>
  <c r="BI35" i="1"/>
  <c r="BI28" i="1"/>
  <c r="BI29" i="1"/>
  <c r="BI32" i="1"/>
  <c r="BI33" i="1"/>
  <c r="BI36" i="1"/>
  <c r="BI34" i="1"/>
  <c r="BI37" i="1"/>
  <c r="BJ38" i="1" l="1"/>
  <c r="BJ6" i="1"/>
  <c r="BJ4" i="1"/>
  <c r="BK5" i="1"/>
  <c r="BJ7" i="1"/>
  <c r="BJ8" i="1"/>
  <c r="BJ17" i="1"/>
  <c r="BJ18" i="1"/>
  <c r="BJ11" i="1"/>
  <c r="BJ12" i="1"/>
  <c r="BJ24" i="1"/>
  <c r="BJ25" i="1"/>
  <c r="BJ21" i="1"/>
  <c r="BJ26" i="1"/>
  <c r="BJ29" i="1"/>
  <c r="BJ27" i="1"/>
  <c r="BJ34" i="1"/>
  <c r="BJ28" i="1"/>
  <c r="BJ15" i="1"/>
  <c r="BJ16" i="1"/>
  <c r="BJ32" i="1"/>
  <c r="BJ33" i="1"/>
  <c r="BJ36" i="1"/>
  <c r="BJ35" i="1"/>
  <c r="BJ37" i="1"/>
  <c r="BJ22" i="1"/>
  <c r="BK4" i="1" l="1"/>
  <c r="BK38" i="1"/>
  <c r="BK6" i="1"/>
  <c r="BL5" i="1"/>
  <c r="BK7" i="1"/>
  <c r="BK16" i="1"/>
  <c r="BK17" i="1"/>
  <c r="BK11" i="1"/>
  <c r="BK12" i="1"/>
  <c r="BK8" i="1"/>
  <c r="BK15" i="1"/>
  <c r="BK18" i="1"/>
  <c r="BK24" i="1"/>
  <c r="BK22" i="1"/>
  <c r="BK21" i="1"/>
  <c r="BK27" i="1"/>
  <c r="BK28" i="1"/>
  <c r="BK26" i="1"/>
  <c r="BK33" i="1"/>
  <c r="BK34" i="1"/>
  <c r="BK29" i="1"/>
  <c r="BK25" i="1"/>
  <c r="BK32" i="1"/>
  <c r="BK35" i="1"/>
  <c r="BK37" i="1"/>
  <c r="BK36" i="1"/>
  <c r="BL4" i="1" l="1"/>
  <c r="BL38" i="1"/>
  <c r="BL6" i="1"/>
  <c r="BH3" i="1"/>
  <c r="BM5" i="1"/>
  <c r="BL8" i="1"/>
  <c r="BL15" i="1"/>
  <c r="BL7" i="1"/>
  <c r="BL16" i="1"/>
  <c r="BL17" i="1"/>
  <c r="BL11" i="1"/>
  <c r="BL22" i="1"/>
  <c r="BL27" i="1"/>
  <c r="BL18" i="1"/>
  <c r="BL12" i="1"/>
  <c r="BL21" i="1"/>
  <c r="BL25" i="1"/>
  <c r="BL26" i="1"/>
  <c r="BL24" i="1"/>
  <c r="BL28" i="1"/>
  <c r="BL32" i="1"/>
  <c r="BL33" i="1"/>
  <c r="BL29" i="1"/>
  <c r="BL34" i="1"/>
  <c r="BL35" i="1"/>
  <c r="BL37" i="1"/>
  <c r="BL36" i="1"/>
  <c r="BM38" i="1" l="1"/>
  <c r="BM4" i="1"/>
  <c r="BM6" i="1"/>
  <c r="BN5" i="1"/>
  <c r="BM7" i="1"/>
  <c r="BM12" i="1"/>
  <c r="BM8" i="1"/>
  <c r="BM15" i="1"/>
  <c r="BM16" i="1"/>
  <c r="BM17" i="1"/>
  <c r="BM21" i="1"/>
  <c r="BM26" i="1"/>
  <c r="BM22" i="1"/>
  <c r="BM18" i="1"/>
  <c r="BM11" i="1"/>
  <c r="BM25" i="1"/>
  <c r="BM27" i="1"/>
  <c r="BM32" i="1"/>
  <c r="BM24" i="1"/>
  <c r="BM33" i="1"/>
  <c r="BM28" i="1"/>
  <c r="BM29" i="1"/>
  <c r="BM36" i="1"/>
  <c r="BM34" i="1"/>
  <c r="BM35" i="1"/>
  <c r="BM37" i="1"/>
  <c r="BN4" i="1" l="1"/>
  <c r="BN38" i="1"/>
  <c r="BN6" i="1"/>
  <c r="BO5" i="1"/>
  <c r="BN12" i="1"/>
  <c r="BN11" i="1"/>
  <c r="BN7" i="1"/>
  <c r="BN8" i="1"/>
  <c r="BN15" i="1"/>
  <c r="BN16" i="1"/>
  <c r="BN25" i="1"/>
  <c r="BN17" i="1"/>
  <c r="BN21" i="1"/>
  <c r="BN22" i="1"/>
  <c r="BN18" i="1"/>
  <c r="BN24" i="1"/>
  <c r="BN26" i="1"/>
  <c r="BN27" i="1"/>
  <c r="BN32" i="1"/>
  <c r="BN33" i="1"/>
  <c r="BN28" i="1"/>
  <c r="BN29" i="1"/>
  <c r="BN36" i="1"/>
  <c r="BN34" i="1"/>
  <c r="BN35" i="1"/>
  <c r="BN37" i="1"/>
  <c r="BO4" i="1" l="1"/>
  <c r="BO38" i="1"/>
  <c r="BO6" i="1"/>
  <c r="BP5" i="1"/>
  <c r="BO11" i="1"/>
  <c r="BO12" i="1"/>
  <c r="BO7" i="1"/>
  <c r="BO8" i="1"/>
  <c r="BO22" i="1"/>
  <c r="BO15" i="1"/>
  <c r="BO16" i="1"/>
  <c r="BO24" i="1"/>
  <c r="BO25" i="1"/>
  <c r="BO17" i="1"/>
  <c r="BO21" i="1"/>
  <c r="BO18" i="1"/>
  <c r="BO29" i="1"/>
  <c r="BO26" i="1"/>
  <c r="BO27" i="1"/>
  <c r="BO32" i="1"/>
  <c r="BO33" i="1"/>
  <c r="BO28" i="1"/>
  <c r="BO36" i="1"/>
  <c r="BO34" i="1"/>
  <c r="BO35" i="1"/>
  <c r="BO37" i="1"/>
  <c r="BP4" i="1" l="1"/>
  <c r="BP38" i="1"/>
  <c r="BP6" i="1"/>
  <c r="BQ5" i="1"/>
  <c r="BP11" i="1"/>
  <c r="BP7" i="1"/>
  <c r="BP8" i="1"/>
  <c r="BP21" i="1"/>
  <c r="BP15" i="1"/>
  <c r="BP16" i="1"/>
  <c r="BP12" i="1"/>
  <c r="BP24" i="1"/>
  <c r="BP17" i="1"/>
  <c r="BP22" i="1"/>
  <c r="BP18" i="1"/>
  <c r="BP28" i="1"/>
  <c r="BP26" i="1"/>
  <c r="BP27" i="1"/>
  <c r="BP32" i="1"/>
  <c r="BP25" i="1"/>
  <c r="BP29" i="1"/>
  <c r="BP36" i="1"/>
  <c r="BP33" i="1"/>
  <c r="BP34" i="1"/>
  <c r="BP35" i="1"/>
  <c r="BP37" i="1"/>
  <c r="BQ38" i="1" l="1"/>
  <c r="BQ4" i="1"/>
  <c r="BM3" i="1"/>
  <c r="BQ6" i="1"/>
  <c r="BR5" i="1"/>
  <c r="BQ8" i="1"/>
  <c r="BQ12" i="1"/>
  <c r="BQ7" i="1"/>
  <c r="BQ18" i="1"/>
  <c r="BQ15" i="1"/>
  <c r="BQ11" i="1"/>
  <c r="BQ24" i="1"/>
  <c r="BQ21" i="1"/>
  <c r="BQ17" i="1"/>
  <c r="BQ22" i="1"/>
  <c r="BQ16" i="1"/>
  <c r="BQ27" i="1"/>
  <c r="BQ26" i="1"/>
  <c r="BQ25" i="1"/>
  <c r="BQ35" i="1"/>
  <c r="BQ29" i="1"/>
  <c r="BQ32" i="1"/>
  <c r="BQ36" i="1"/>
  <c r="BQ28" i="1"/>
  <c r="BQ34" i="1"/>
  <c r="BQ37" i="1"/>
  <c r="BQ33" i="1"/>
  <c r="BR38" i="1" l="1"/>
  <c r="BR4" i="1"/>
  <c r="BR6" i="1"/>
  <c r="BS5" i="1"/>
  <c r="BR7" i="1"/>
  <c r="BR8" i="1"/>
  <c r="BR11" i="1"/>
  <c r="BR12" i="1"/>
  <c r="BR17" i="1"/>
  <c r="BR18" i="1"/>
  <c r="BR15" i="1"/>
  <c r="BR16" i="1"/>
  <c r="BR24" i="1"/>
  <c r="BR21" i="1"/>
  <c r="BR26" i="1"/>
  <c r="BR27" i="1"/>
  <c r="BR29" i="1"/>
  <c r="BR25" i="1"/>
  <c r="BR34" i="1"/>
  <c r="BR22" i="1"/>
  <c r="BR28" i="1"/>
  <c r="BR32" i="1"/>
  <c r="BR35" i="1"/>
  <c r="BR36" i="1"/>
  <c r="BR37" i="1"/>
  <c r="BR33" i="1"/>
  <c r="BS4" i="1" l="1"/>
  <c r="BS38" i="1"/>
  <c r="BS6" i="1"/>
  <c r="BT5" i="1"/>
  <c r="BS7" i="1"/>
  <c r="BS16" i="1"/>
  <c r="BS11" i="1"/>
  <c r="BS8" i="1"/>
  <c r="BS12" i="1"/>
  <c r="BS17" i="1"/>
  <c r="BS24" i="1"/>
  <c r="BS15" i="1"/>
  <c r="BS25" i="1"/>
  <c r="BS26" i="1"/>
  <c r="BS18" i="1"/>
  <c r="BS28" i="1"/>
  <c r="BS22" i="1"/>
  <c r="BS29" i="1"/>
  <c r="BS33" i="1"/>
  <c r="BS34" i="1"/>
  <c r="BS21" i="1"/>
  <c r="BS27" i="1"/>
  <c r="BS37" i="1"/>
  <c r="BS32" i="1"/>
  <c r="BS35" i="1"/>
  <c r="BS36" i="1"/>
  <c r="BT4" i="1" l="1"/>
  <c r="BT38" i="1"/>
  <c r="BT6" i="1"/>
  <c r="BU5" i="1"/>
  <c r="BT8" i="1"/>
  <c r="BT15" i="1"/>
  <c r="BT7" i="1"/>
  <c r="BT11" i="1"/>
  <c r="BT12" i="1"/>
  <c r="BT17" i="1"/>
  <c r="BT27" i="1"/>
  <c r="BT16" i="1"/>
  <c r="BT18" i="1"/>
  <c r="BT22" i="1"/>
  <c r="BT25" i="1"/>
  <c r="BT21" i="1"/>
  <c r="BT28" i="1"/>
  <c r="BT32" i="1"/>
  <c r="BT29" i="1"/>
  <c r="BT33" i="1"/>
  <c r="BT24" i="1"/>
  <c r="BT26" i="1"/>
  <c r="BT37" i="1"/>
  <c r="BT35" i="1"/>
  <c r="BT36" i="1"/>
  <c r="BT34" i="1"/>
  <c r="BU4" i="1" l="1"/>
  <c r="BU38" i="1"/>
  <c r="BU6" i="1"/>
  <c r="BV5" i="1"/>
  <c r="BU7" i="1"/>
  <c r="BU16" i="1"/>
  <c r="BU8" i="1"/>
  <c r="BU11" i="1"/>
  <c r="BU12" i="1"/>
  <c r="BU17" i="1"/>
  <c r="BU15" i="1"/>
  <c r="BU18" i="1"/>
  <c r="BU22" i="1"/>
  <c r="BU26" i="1"/>
  <c r="BU21" i="1"/>
  <c r="BU27" i="1"/>
  <c r="BU24" i="1"/>
  <c r="BU25" i="1"/>
  <c r="BU28" i="1"/>
  <c r="BU32" i="1"/>
  <c r="BU29" i="1"/>
  <c r="BU33" i="1"/>
  <c r="BU35" i="1"/>
  <c r="BU36" i="1"/>
  <c r="BU37" i="1"/>
  <c r="BU34" i="1"/>
  <c r="BR3" i="1" l="1"/>
  <c r="BV38" i="1"/>
  <c r="BV6" i="1"/>
  <c r="BV4" i="1"/>
  <c r="BW5" i="1"/>
  <c r="BV12" i="1"/>
  <c r="BV8" i="1"/>
  <c r="BV7" i="1"/>
  <c r="BV15" i="1"/>
  <c r="BV16" i="1"/>
  <c r="BV11" i="1"/>
  <c r="BV21" i="1"/>
  <c r="BV25" i="1"/>
  <c r="BV18" i="1"/>
  <c r="BV22" i="1"/>
  <c r="BV17" i="1"/>
  <c r="BV24" i="1"/>
  <c r="BV26" i="1"/>
  <c r="BV27" i="1"/>
  <c r="BV28" i="1"/>
  <c r="BV32" i="1"/>
  <c r="BV29" i="1"/>
  <c r="BV33" i="1"/>
  <c r="BV34" i="1"/>
  <c r="BV35" i="1"/>
  <c r="BV36" i="1"/>
  <c r="BV37" i="1"/>
  <c r="BW38" i="1" l="1"/>
  <c r="BW6" i="1"/>
  <c r="BW4" i="1"/>
  <c r="BX5" i="1"/>
  <c r="BW11" i="1"/>
  <c r="BW12" i="1"/>
  <c r="BW7" i="1"/>
  <c r="BW22" i="1"/>
  <c r="BW15" i="1"/>
  <c r="BW16" i="1"/>
  <c r="BW8" i="1"/>
  <c r="BW24" i="1"/>
  <c r="BW21" i="1"/>
  <c r="BW18" i="1"/>
  <c r="BW29" i="1"/>
  <c r="BW17" i="1"/>
  <c r="BW25" i="1"/>
  <c r="BW26" i="1"/>
  <c r="BW28" i="1"/>
  <c r="BW32" i="1"/>
  <c r="BW33" i="1"/>
  <c r="BW27" i="1"/>
  <c r="BW34" i="1"/>
  <c r="BW35" i="1"/>
  <c r="BW36" i="1"/>
  <c r="BW37" i="1"/>
  <c r="BX4" i="1" l="1"/>
  <c r="BX38" i="1"/>
  <c r="BY5" i="1"/>
  <c r="BX11" i="1"/>
  <c r="BX8" i="1"/>
  <c r="BX21" i="1"/>
  <c r="BX7" i="1"/>
  <c r="BX15" i="1"/>
  <c r="BX16" i="1"/>
  <c r="BX12" i="1"/>
  <c r="BX24" i="1"/>
  <c r="BX22" i="1"/>
  <c r="BX18" i="1"/>
  <c r="BX17" i="1"/>
  <c r="BX28" i="1"/>
  <c r="BX25" i="1"/>
  <c r="BX26" i="1"/>
  <c r="BX29" i="1"/>
  <c r="BX32" i="1"/>
  <c r="BX34" i="1"/>
  <c r="BX35" i="1"/>
  <c r="BX36" i="1"/>
  <c r="BX37" i="1"/>
  <c r="BX33" i="1"/>
  <c r="BX27" i="1"/>
  <c r="BX6" i="1"/>
  <c r="BY4" i="1" l="1"/>
  <c r="BY38" i="1"/>
  <c r="BY6" i="1"/>
  <c r="BZ5" i="1"/>
  <c r="BY8" i="1"/>
  <c r="BY12" i="1"/>
  <c r="BY7" i="1"/>
  <c r="BY18" i="1"/>
  <c r="BY15" i="1"/>
  <c r="BY11" i="1"/>
  <c r="BY16" i="1"/>
  <c r="BY17" i="1"/>
  <c r="BY21" i="1"/>
  <c r="BY24" i="1"/>
  <c r="BY22" i="1"/>
  <c r="BY35" i="1"/>
  <c r="BY25" i="1"/>
  <c r="BY28" i="1"/>
  <c r="BY26" i="1"/>
  <c r="BY29" i="1"/>
  <c r="BY27" i="1"/>
  <c r="BY33" i="1"/>
  <c r="BY34" i="1"/>
  <c r="BY36" i="1"/>
  <c r="BY32" i="1"/>
  <c r="BY37" i="1"/>
  <c r="BZ38" i="1" l="1"/>
  <c r="BZ4" i="1"/>
  <c r="BZ6" i="1"/>
  <c r="CA5" i="1"/>
  <c r="BZ7" i="1"/>
  <c r="BZ8" i="1"/>
  <c r="BZ11" i="1"/>
  <c r="BZ17" i="1"/>
  <c r="BZ18" i="1"/>
  <c r="BZ15" i="1"/>
  <c r="BZ12" i="1"/>
  <c r="BZ16" i="1"/>
  <c r="BZ21" i="1"/>
  <c r="BZ24" i="1"/>
  <c r="BZ22" i="1"/>
  <c r="BZ27" i="1"/>
  <c r="BZ29" i="1"/>
  <c r="BZ26" i="1"/>
  <c r="BZ34" i="1"/>
  <c r="BZ25" i="1"/>
  <c r="BZ28" i="1"/>
  <c r="BZ32" i="1"/>
  <c r="BZ33" i="1"/>
  <c r="BZ35" i="1"/>
  <c r="BZ36" i="1"/>
  <c r="BZ37" i="1"/>
  <c r="CA4" i="1" l="1"/>
  <c r="CA38" i="1"/>
  <c r="CA6" i="1"/>
  <c r="BW3" i="1"/>
  <c r="CB5" i="1"/>
  <c r="CA7" i="1"/>
  <c r="CA16" i="1"/>
  <c r="CA12" i="1"/>
  <c r="CA8" i="1"/>
  <c r="CA17" i="1"/>
  <c r="CA11" i="1"/>
  <c r="CA15" i="1"/>
  <c r="CA18" i="1"/>
  <c r="CA21" i="1"/>
  <c r="CA24" i="1"/>
  <c r="CA22" i="1"/>
  <c r="CA26" i="1"/>
  <c r="CA27" i="1"/>
  <c r="CA28" i="1"/>
  <c r="CA25" i="1"/>
  <c r="CA33" i="1"/>
  <c r="CA34" i="1"/>
  <c r="CA32" i="1"/>
  <c r="CA29" i="1"/>
  <c r="CA37" i="1"/>
  <c r="CA35" i="1"/>
  <c r="CA36" i="1"/>
  <c r="CB6" i="1" l="1"/>
  <c r="CB38" i="1"/>
  <c r="CB4" i="1"/>
  <c r="CC5" i="1"/>
  <c r="CB8" i="1"/>
  <c r="CB15" i="1"/>
  <c r="CB11" i="1"/>
  <c r="CB7" i="1"/>
  <c r="CB17" i="1"/>
  <c r="CB27" i="1"/>
  <c r="CB16" i="1"/>
  <c r="CB12" i="1"/>
  <c r="CB18" i="1"/>
  <c r="CB24" i="1"/>
  <c r="CB25" i="1"/>
  <c r="CB22" i="1"/>
  <c r="CB26" i="1"/>
  <c r="CB21" i="1"/>
  <c r="CB32" i="1"/>
  <c r="CB33" i="1"/>
  <c r="CB29" i="1"/>
  <c r="CB37" i="1"/>
  <c r="CB34" i="1"/>
  <c r="CB36" i="1"/>
  <c r="CB28" i="1"/>
  <c r="CB35" i="1"/>
  <c r="CC4" i="1" l="1"/>
  <c r="CC38" i="1"/>
  <c r="CD5" i="1"/>
  <c r="CC7" i="1"/>
  <c r="CC17" i="1"/>
  <c r="CC8" i="1"/>
  <c r="CC12" i="1"/>
  <c r="CC26" i="1"/>
  <c r="CC15" i="1"/>
  <c r="CC11" i="1"/>
  <c r="CC16" i="1"/>
  <c r="CC22" i="1"/>
  <c r="CC24" i="1"/>
  <c r="CC25" i="1"/>
  <c r="CC18" i="1"/>
  <c r="CC27" i="1"/>
  <c r="CC29" i="1"/>
  <c r="CC32" i="1"/>
  <c r="CC33" i="1"/>
  <c r="CC21" i="1"/>
  <c r="CC28" i="1"/>
  <c r="CC36" i="1"/>
  <c r="CC37" i="1"/>
  <c r="CC35" i="1"/>
  <c r="CC34" i="1"/>
  <c r="CC6" i="1"/>
  <c r="CD4" i="1" l="1"/>
  <c r="CD38" i="1"/>
  <c r="CD6" i="1"/>
  <c r="CE5" i="1"/>
  <c r="CD12" i="1"/>
  <c r="CD7" i="1"/>
  <c r="CD8" i="1"/>
  <c r="CD16" i="1"/>
  <c r="CD11" i="1"/>
  <c r="CD22" i="1"/>
  <c r="CD25" i="1"/>
  <c r="CD17" i="1"/>
  <c r="CD15" i="1"/>
  <c r="CD18" i="1"/>
  <c r="CD21" i="1"/>
  <c r="CD24" i="1"/>
  <c r="CD27" i="1"/>
  <c r="CD28" i="1"/>
  <c r="CD29" i="1"/>
  <c r="CD32" i="1"/>
  <c r="CD33" i="1"/>
  <c r="CD35" i="1"/>
  <c r="CD36" i="1"/>
  <c r="CD37" i="1"/>
  <c r="CD26" i="1"/>
  <c r="CD34" i="1"/>
  <c r="CE4" i="1" l="1"/>
  <c r="CE38" i="1"/>
  <c r="CE6" i="1"/>
  <c r="CF5" i="1"/>
  <c r="CE11" i="1"/>
  <c r="CE12" i="1"/>
  <c r="CE7" i="1"/>
  <c r="CE15" i="1"/>
  <c r="CE22" i="1"/>
  <c r="CE16" i="1"/>
  <c r="CE8" i="1"/>
  <c r="CE18" i="1"/>
  <c r="CE21" i="1"/>
  <c r="CE24" i="1"/>
  <c r="CE17" i="1"/>
  <c r="CE29" i="1"/>
  <c r="CE26" i="1"/>
  <c r="CE27" i="1"/>
  <c r="CE28" i="1"/>
  <c r="CE32" i="1"/>
  <c r="CE25" i="1"/>
  <c r="CE33" i="1"/>
  <c r="CE35" i="1"/>
  <c r="CE36" i="1"/>
  <c r="CE37" i="1"/>
  <c r="CE34" i="1"/>
  <c r="CF4" i="1" l="1"/>
  <c r="CF38" i="1"/>
  <c r="CB3" i="1"/>
  <c r="CF6" i="1"/>
  <c r="CG5" i="1"/>
  <c r="CF11" i="1"/>
  <c r="CF12" i="1"/>
  <c r="CF21" i="1"/>
  <c r="CF15" i="1"/>
  <c r="CF16" i="1"/>
  <c r="CF7" i="1"/>
  <c r="CF18" i="1"/>
  <c r="CF22" i="1"/>
  <c r="CF24" i="1"/>
  <c r="CF17" i="1"/>
  <c r="CF28" i="1"/>
  <c r="CF25" i="1"/>
  <c r="CF26" i="1"/>
  <c r="CF27" i="1"/>
  <c r="CF8" i="1"/>
  <c r="CF29" i="1"/>
  <c r="CF32" i="1"/>
  <c r="CF34" i="1"/>
  <c r="CF33" i="1"/>
  <c r="CF35" i="1"/>
  <c r="CF36" i="1"/>
  <c r="CF37" i="1"/>
  <c r="CG38" i="1" l="1"/>
  <c r="CG4" i="1"/>
  <c r="CG6" i="1"/>
  <c r="CH5" i="1"/>
  <c r="CG8" i="1"/>
  <c r="CG7" i="1"/>
  <c r="CG11" i="1"/>
  <c r="CG18" i="1"/>
  <c r="CG12" i="1"/>
  <c r="CG15" i="1"/>
  <c r="CG16" i="1"/>
  <c r="CG21" i="1"/>
  <c r="CG22" i="1"/>
  <c r="CG24" i="1"/>
  <c r="CG17" i="1"/>
  <c r="CG25" i="1"/>
  <c r="CG27" i="1"/>
  <c r="CG28" i="1"/>
  <c r="CG29" i="1"/>
  <c r="CG26" i="1"/>
  <c r="CG34" i="1"/>
  <c r="CG32" i="1"/>
  <c r="CG33" i="1"/>
  <c r="CG35" i="1"/>
  <c r="CG36" i="1"/>
  <c r="CG37" i="1"/>
  <c r="CH4" i="1" l="1"/>
  <c r="CH38" i="1"/>
  <c r="CH6" i="1"/>
  <c r="CI5" i="1"/>
  <c r="CH7" i="1"/>
  <c r="CH8" i="1"/>
  <c r="CH17" i="1"/>
  <c r="CH11" i="1"/>
  <c r="CH18" i="1"/>
  <c r="CH12" i="1"/>
  <c r="CH15" i="1"/>
  <c r="CH16" i="1"/>
  <c r="CH21" i="1"/>
  <c r="CH22" i="1"/>
  <c r="CH24" i="1"/>
  <c r="CH29" i="1"/>
  <c r="CH26" i="1"/>
  <c r="CH34" i="1"/>
  <c r="CH27" i="1"/>
  <c r="CH28" i="1"/>
  <c r="CH25" i="1"/>
  <c r="CH32" i="1"/>
  <c r="CH33" i="1"/>
  <c r="CH35" i="1"/>
  <c r="CH36" i="1"/>
  <c r="CH37" i="1"/>
  <c r="CI4" i="1" l="1"/>
  <c r="CI38" i="1"/>
  <c r="CI6" i="1"/>
  <c r="CJ5" i="1"/>
  <c r="CI7" i="1"/>
  <c r="CI8" i="1"/>
  <c r="CI12" i="1"/>
  <c r="CI16" i="1"/>
  <c r="CI17" i="1"/>
  <c r="CI11" i="1"/>
  <c r="CI15" i="1"/>
  <c r="CI18" i="1"/>
  <c r="CI21" i="1"/>
  <c r="CI22" i="1"/>
  <c r="CI24" i="1"/>
  <c r="CI27" i="1"/>
  <c r="CI28" i="1"/>
  <c r="CI26" i="1"/>
  <c r="CI33" i="1"/>
  <c r="CI34" i="1"/>
  <c r="CI29" i="1"/>
  <c r="CI25" i="1"/>
  <c r="CI32" i="1"/>
  <c r="CI37" i="1"/>
  <c r="CI35" i="1"/>
  <c r="CI36" i="1"/>
  <c r="CJ4" i="1" l="1"/>
  <c r="CJ38" i="1"/>
  <c r="CJ6" i="1"/>
  <c r="CK5" i="1"/>
  <c r="CJ8" i="1"/>
  <c r="CJ7" i="1"/>
  <c r="CJ11" i="1"/>
  <c r="CJ15" i="1"/>
  <c r="CJ17" i="1"/>
  <c r="CJ12" i="1"/>
  <c r="CJ27" i="1"/>
  <c r="CJ18" i="1"/>
  <c r="CJ21" i="1"/>
  <c r="CJ16" i="1"/>
  <c r="CJ26" i="1"/>
  <c r="CJ25" i="1"/>
  <c r="CJ22" i="1"/>
  <c r="CJ32" i="1"/>
  <c r="CJ33" i="1"/>
  <c r="CJ24" i="1"/>
  <c r="CJ28" i="1"/>
  <c r="CJ29" i="1"/>
  <c r="CJ37" i="1"/>
  <c r="CJ34" i="1"/>
  <c r="CJ36" i="1"/>
  <c r="CJ35" i="1"/>
  <c r="CK4" i="1" l="1"/>
  <c r="CK38" i="1"/>
  <c r="CG3" i="1"/>
  <c r="CK6" i="1"/>
  <c r="CL5" i="1"/>
  <c r="CK7" i="1"/>
  <c r="CK12" i="1"/>
  <c r="CK11" i="1"/>
  <c r="CK17" i="1"/>
  <c r="CK15" i="1"/>
  <c r="CK8" i="1"/>
  <c r="CK26" i="1"/>
  <c r="CK18" i="1"/>
  <c r="CK25" i="1"/>
  <c r="CK27" i="1"/>
  <c r="CK16" i="1"/>
  <c r="CK22" i="1"/>
  <c r="CK24" i="1"/>
  <c r="CK32" i="1"/>
  <c r="CK33" i="1"/>
  <c r="CK28" i="1"/>
  <c r="CK36" i="1"/>
  <c r="CK37" i="1"/>
  <c r="CK29" i="1"/>
  <c r="CK34" i="1"/>
  <c r="CK21" i="1"/>
  <c r="CK35" i="1"/>
  <c r="CL38" i="1" l="1"/>
  <c r="CL4" i="1"/>
  <c r="CM5" i="1"/>
  <c r="CL12" i="1"/>
  <c r="CL8" i="1"/>
  <c r="CL11" i="1"/>
  <c r="CL7" i="1"/>
  <c r="CL25" i="1"/>
  <c r="CL15" i="1"/>
  <c r="CL17" i="1"/>
  <c r="CL18" i="1"/>
  <c r="CL16" i="1"/>
  <c r="CL22" i="1"/>
  <c r="CL24" i="1"/>
  <c r="CL26" i="1"/>
  <c r="CL21" i="1"/>
  <c r="CL32" i="1"/>
  <c r="CL33" i="1"/>
  <c r="CL27" i="1"/>
  <c r="CL29" i="1"/>
  <c r="CL35" i="1"/>
  <c r="CL36" i="1"/>
  <c r="CL37" i="1"/>
  <c r="CL34" i="1"/>
  <c r="CL28" i="1"/>
  <c r="CL6" i="1"/>
  <c r="CM4" i="1" l="1"/>
  <c r="CM38" i="1"/>
  <c r="CM6" i="1"/>
  <c r="CN5" i="1"/>
  <c r="CM11" i="1"/>
  <c r="CM12" i="1"/>
  <c r="CM7" i="1"/>
  <c r="CM8" i="1"/>
  <c r="CM16" i="1"/>
  <c r="CM22" i="1"/>
  <c r="CM24" i="1"/>
  <c r="CM15" i="1"/>
  <c r="CM21" i="1"/>
  <c r="CM29" i="1"/>
  <c r="CM25" i="1"/>
  <c r="CM27" i="1"/>
  <c r="CM17" i="1"/>
  <c r="CM26" i="1"/>
  <c r="CM32" i="1"/>
  <c r="CM18" i="1"/>
  <c r="CM33" i="1"/>
  <c r="CM28" i="1"/>
  <c r="CM35" i="1"/>
  <c r="CM36" i="1"/>
  <c r="CM37" i="1"/>
  <c r="CM34" i="1"/>
  <c r="CN6" i="1" l="1"/>
  <c r="CN4" i="1"/>
  <c r="CN38" i="1"/>
  <c r="CN11" i="1"/>
  <c r="CN7" i="1"/>
  <c r="CN8" i="1"/>
  <c r="CN15" i="1"/>
  <c r="CN21" i="1"/>
  <c r="CN16" i="1"/>
  <c r="CN12" i="1"/>
  <c r="CN22" i="1"/>
  <c r="CN24" i="1"/>
  <c r="CN17" i="1"/>
  <c r="CN18" i="1"/>
  <c r="CN28" i="1"/>
  <c r="CN26" i="1"/>
  <c r="CN27" i="1"/>
  <c r="CN29" i="1"/>
  <c r="CN32" i="1"/>
  <c r="CN25" i="1"/>
  <c r="CN35" i="1"/>
  <c r="CN36" i="1"/>
  <c r="CN37" i="1"/>
  <c r="CN33" i="1"/>
  <c r="CN34" i="1"/>
  <c r="CL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C159E-7078-428F-8551-8233E8DC8A9C}" keepAlive="1" name="Abfrage - Abgeschlossene Projekte" description="Verbindung mit der Abfrage 'Abgeschlossene Projekte' in der Arbeitsmappe." type="5" refreshedVersion="0" background="1">
    <dbPr connection="Provider=Microsoft.Mashup.OleDb.1;Data Source=$Workbook$;Location=&quot;Abgeschlossene Projekte&quot;;Extended Properties=&quot;&quot;" command="SELECT * FROM [Abgeschlossene Projekte]"/>
  </connection>
  <connection id="2" xr16:uid="{A3EA004C-F23E-4E24-8BD1-7EFD02F6B5F4}" keepAlive="1" name="Abfrage - Gesamtübersicht" description="Verbindung mit der Abfrage 'Gesamtübersicht' in der Arbeitsmappe." type="5" refreshedVersion="8" background="1" saveData="1">
    <dbPr connection="Provider=Microsoft.Mashup.OleDb.1;Data Source=$Workbook$;Location=Gesamtübersicht;Extended Properties=&quot;&quot;" command="SELECT * FROM [Gesamtübersicht]"/>
  </connection>
  <connection id="3" xr16:uid="{D00EB341-E2E2-4CB3-80A7-F52B213DC3AF}" keepAlive="1" name="Abfrage - Kontinuierlich" description="Verbindung mit der Abfrage 'Kontinuierlich' in der Arbeitsmappe." type="5" refreshedVersion="0" background="1">
    <dbPr connection="Provider=Microsoft.Mashup.OleDb.1;Data Source=$Workbook$;Location=Kontinuierlich;Extended Properties=&quot;&quot;" command="SELECT * FROM [Kontinuierlich]"/>
  </connection>
  <connection id="4" xr16:uid="{D03ED344-7E68-4C82-9F1F-BB7227D63537}" keepAlive="1" name="Abfrage - Laufende Projekte" description="Verbindung mit der Abfrage 'Laufende Projekte' in der Arbeitsmappe." type="5" refreshedVersion="0" background="1">
    <dbPr connection="Provider=Microsoft.Mashup.OleDb.1;Data Source=$Workbook$;Location=&quot;Laufende Projekte&quot;;Extended Properties=&quot;&quot;" command="SELECT * FROM [Laufende Projekte]"/>
  </connection>
</connections>
</file>

<file path=xl/sharedStrings.xml><?xml version="1.0" encoding="utf-8"?>
<sst xmlns="http://schemas.openxmlformats.org/spreadsheetml/2006/main" count="100" uniqueCount="57">
  <si>
    <t>Gantt-Diagramm SmartTime</t>
  </si>
  <si>
    <t>von Kristina Baotic und Claire Dörr</t>
  </si>
  <si>
    <t>Startdatum</t>
  </si>
  <si>
    <t>Monat</t>
  </si>
  <si>
    <t>KW</t>
  </si>
  <si>
    <t>Tag</t>
  </si>
  <si>
    <t>Aufgabe</t>
  </si>
  <si>
    <t>Arbeitspaket</t>
  </si>
  <si>
    <t>Verantwortlich</t>
  </si>
  <si>
    <t>Status</t>
  </si>
  <si>
    <t>Fortschritt</t>
  </si>
  <si>
    <t>Start</t>
  </si>
  <si>
    <t>Ende</t>
  </si>
  <si>
    <t>Projektauftrag und Zieldefinition</t>
  </si>
  <si>
    <t>Die Ziele des Projekts stehen fest</t>
  </si>
  <si>
    <t>Abgeschlossen</t>
  </si>
  <si>
    <t>Projektteam ist gefunden</t>
  </si>
  <si>
    <t>Kristina Baotic, Claire Dörr</t>
  </si>
  <si>
    <t xml:space="preserve">Scrum Rollen sind verteilt </t>
  </si>
  <si>
    <t>Serverlandschaft ist funktionsbereit</t>
  </si>
  <si>
    <t xml:space="preserve">Jeweilige Serverinfrastruktur steht  </t>
  </si>
  <si>
    <t xml:space="preserve">GitHub-Repository erstellt </t>
  </si>
  <si>
    <t>Skizzierung des Projekts</t>
  </si>
  <si>
    <t>Mockup Seiten in Wireframe sind erstellt</t>
  </si>
  <si>
    <t xml:space="preserve">Logo und Design ist erstellt </t>
  </si>
  <si>
    <t xml:space="preserve">HTML/ CSS Gerüst steht </t>
  </si>
  <si>
    <t xml:space="preserve">Backend ist skizierrt </t>
  </si>
  <si>
    <t xml:space="preserve">Priorisierung einzelner Funktionen im Backend ist abgeschlossen </t>
  </si>
  <si>
    <t xml:space="preserve">Anmeldung der User funktioniert </t>
  </si>
  <si>
    <t>Nutzendatenspeicherung in JSON funktioniert</t>
  </si>
  <si>
    <t>Claire Dörr</t>
  </si>
  <si>
    <t xml:space="preserve">Die Registrierung funktioniert </t>
  </si>
  <si>
    <t>Die Anmeldung funktioniert</t>
  </si>
  <si>
    <t xml:space="preserve">Logout Funktion ist erstellt und funktioniert </t>
  </si>
  <si>
    <t>Berichteverwaltung ist funktionsfähig</t>
  </si>
  <si>
    <t>Erstellung neuer Arbeitsberichte ist implementiert</t>
  </si>
  <si>
    <t>Kristina Baotic</t>
  </si>
  <si>
    <t>Anzeige der Arbeitsberichte im Dashboard funktioniert</t>
  </si>
  <si>
    <t>Gespeicherte Zeiterfassungsdaten werden korrekt verarbeitet und dargestellt</t>
  </si>
  <si>
    <t>Druckfunktion für das Dashboard ist umgesetzt</t>
  </si>
  <si>
    <t>Verwaltung funktioniert</t>
  </si>
  <si>
    <t xml:space="preserve">Beantragung und Bestätigung zum VIP/Admin funktioniert </t>
  </si>
  <si>
    <t>User Berechtigungsmanagement ist erstellt (anzeigen/sperren)</t>
  </si>
  <si>
    <t>Modulverwaltung zur Auswahl und Erstellung von Berichten ist erstellt</t>
  </si>
  <si>
    <t>Exportfunktionen (CSV, JSON, XML) stehen</t>
  </si>
  <si>
    <t>Importfunktionen (JSON, CSV) stehen</t>
  </si>
  <si>
    <t>Kristina Boatic</t>
  </si>
  <si>
    <t>Cookie-Einstellungen</t>
  </si>
  <si>
    <t xml:space="preserve">Cookie-Einstellungen sind erstellt </t>
  </si>
  <si>
    <t>Krsitna Boatic</t>
  </si>
  <si>
    <t>Priorität</t>
  </si>
  <si>
    <t>offen</t>
  </si>
  <si>
    <t>hoch</t>
  </si>
  <si>
    <t>in Arbeit</t>
  </si>
  <si>
    <t>mittel</t>
  </si>
  <si>
    <t>Überprüfung</t>
  </si>
  <si>
    <t>niedrig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</si>
</sst>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dd"/>
    <numFmt numFmtId="166" formatCode="mmmm\ yyyy"/>
  </numFmts>
  <fonts count="12" x14ac:knownFonts="1">
    <font>
      <sz val="11"/>
      <name val="Arial"/>
      <family val="2"/>
      <scheme val="minor"/>
    </font>
    <font>
      <sz val="8"/>
      <name val="Arial"/>
      <family val="2"/>
    </font>
    <font>
      <b/>
      <sz val="24"/>
      <name val="Arial"/>
      <family val="2"/>
      <scheme val="major"/>
    </font>
    <font>
      <b/>
      <sz val="11"/>
      <color theme="0"/>
      <name val="Arial"/>
      <family val="2"/>
      <scheme val="minor"/>
    </font>
    <font>
      <sz val="11"/>
      <name val="Arial"/>
      <family val="2"/>
      <scheme val="minor"/>
    </font>
    <font>
      <b/>
      <sz val="11"/>
      <name val="Arial"/>
      <family val="2"/>
      <scheme val="minor"/>
    </font>
    <font>
      <sz val="11"/>
      <name val="Calibri"/>
      <family val="2"/>
    </font>
    <font>
      <b/>
      <sz val="11"/>
      <name val="Calibri"/>
      <family val="2"/>
    </font>
    <font>
      <b/>
      <sz val="24"/>
      <name val="Calibri"/>
      <family val="2"/>
    </font>
    <font>
      <sz val="11"/>
      <name val="Segoe Fluent Icons"/>
      <family val="1"/>
    </font>
    <font>
      <sz val="10"/>
      <name val="Calibri"/>
      <family val="2"/>
    </font>
    <font>
      <i/>
      <sz val="10"/>
      <name val="Calibri"/>
      <family val="2"/>
    </font>
  </fonts>
  <fills count="8">
    <fill>
      <patternFill patternType="none"/>
    </fill>
    <fill>
      <patternFill patternType="gray125"/>
    </fill>
    <fill>
      <patternFill patternType="solid">
        <fgColor theme="6"/>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3"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7">
    <xf numFmtId="0" fontId="0" fillId="0" borderId="0">
      <alignment wrapText="1"/>
    </xf>
    <xf numFmtId="0" fontId="2" fillId="0" borderId="0">
      <alignment horizontal="left"/>
    </xf>
    <xf numFmtId="0" fontId="5" fillId="0" borderId="0">
      <alignment horizontal="right" wrapText="1"/>
    </xf>
    <xf numFmtId="0" fontId="5" fillId="0" borderId="0">
      <alignment horizontal="right" vertical="top"/>
    </xf>
    <xf numFmtId="0" fontId="3" fillId="0" borderId="0">
      <alignment horizontal="left" vertical="center"/>
    </xf>
    <xf numFmtId="164" fontId="4" fillId="0" borderId="0" applyFont="0" applyFill="0" applyBorder="0" applyAlignment="0">
      <alignment wrapText="1"/>
    </xf>
    <xf numFmtId="9" fontId="4" fillId="0" borderId="0" applyFont="0" applyFill="0" applyBorder="0" applyAlignment="0" applyProtection="0"/>
  </cellStyleXfs>
  <cellXfs count="37">
    <xf numFmtId="0" fontId="0" fillId="0" borderId="0" xfId="0">
      <alignment wrapText="1"/>
    </xf>
    <xf numFmtId="0" fontId="6" fillId="0" borderId="0" xfId="0" applyFont="1">
      <alignment wrapText="1"/>
    </xf>
    <xf numFmtId="0" fontId="7" fillId="0" borderId="0" xfId="0" applyFont="1">
      <alignment wrapText="1"/>
    </xf>
    <xf numFmtId="0" fontId="6" fillId="0" borderId="0" xfId="0" applyFont="1" applyAlignment="1">
      <alignment vertical="center" wrapText="1"/>
    </xf>
    <xf numFmtId="0" fontId="8" fillId="0" borderId="0" xfId="1" applyFont="1" applyAlignment="1">
      <alignment vertical="center"/>
    </xf>
    <xf numFmtId="14" fontId="6" fillId="0" borderId="0" xfId="0" applyNumberFormat="1" applyFont="1" applyAlignment="1">
      <alignment horizontal="left" vertical="center" wrapText="1"/>
    </xf>
    <xf numFmtId="0" fontId="7" fillId="0" borderId="0" xfId="2" applyFont="1">
      <alignment horizontal="right" wrapText="1"/>
    </xf>
    <xf numFmtId="0" fontId="6" fillId="0" borderId="0" xfId="0" applyFont="1" applyAlignment="1">
      <alignment horizontal="left" vertical="center"/>
    </xf>
    <xf numFmtId="0" fontId="6" fillId="3" borderId="0" xfId="0" applyFont="1" applyFill="1">
      <alignment wrapText="1"/>
    </xf>
    <xf numFmtId="0" fontId="6" fillId="4" borderId="0" xfId="0" applyFont="1" applyFill="1">
      <alignment wrapText="1"/>
    </xf>
    <xf numFmtId="0" fontId="6" fillId="5" borderId="0" xfId="0" applyFont="1" applyFill="1">
      <alignment wrapText="1"/>
    </xf>
    <xf numFmtId="0" fontId="6" fillId="2" borderId="0" xfId="0" applyFont="1" applyFill="1">
      <alignment wrapText="1"/>
    </xf>
    <xf numFmtId="0" fontId="0" fillId="0" borderId="0" xfId="0" applyAlignment="1">
      <alignment horizontal="center" vertical="center"/>
    </xf>
    <xf numFmtId="166" fontId="6" fillId="0" borderId="0" xfId="0" applyNumberFormat="1" applyFont="1" applyAlignment="1">
      <alignment vertical="center" wrapText="1"/>
    </xf>
    <xf numFmtId="0" fontId="6" fillId="6" borderId="2" xfId="0" applyFont="1" applyFill="1" applyBorder="1" applyAlignment="1">
      <alignment vertical="center" wrapText="1"/>
    </xf>
    <xf numFmtId="0" fontId="6" fillId="6" borderId="3" xfId="0" applyFont="1" applyFill="1" applyBorder="1" applyAlignment="1">
      <alignment vertical="center" wrapText="1"/>
    </xf>
    <xf numFmtId="0" fontId="6" fillId="6" borderId="4" xfId="0" applyFont="1" applyFill="1" applyBorder="1" applyAlignment="1">
      <alignment vertical="center" wrapText="1"/>
    </xf>
    <xf numFmtId="0" fontId="7" fillId="7" borderId="0" xfId="4" applyFont="1" applyFill="1">
      <alignment horizontal="left" vertical="center"/>
    </xf>
    <xf numFmtId="14" fontId="7" fillId="7" borderId="0" xfId="4" applyNumberFormat="1" applyFont="1" applyFill="1">
      <alignment horizontal="left" vertical="center"/>
    </xf>
    <xf numFmtId="165" fontId="10" fillId="0" borderId="5" xfId="0" applyNumberFormat="1" applyFont="1" applyBorder="1" applyAlignment="1">
      <alignment horizontal="center" vertical="center" wrapText="1"/>
    </xf>
    <xf numFmtId="165" fontId="10" fillId="0" borderId="6" xfId="0" applyNumberFormat="1" applyFont="1" applyBorder="1" applyAlignment="1">
      <alignment horizontal="center" vertical="center" wrapText="1"/>
    </xf>
    <xf numFmtId="165" fontId="10" fillId="0" borderId="7" xfId="0" applyNumberFormat="1" applyFont="1" applyBorder="1" applyAlignment="1">
      <alignment horizontal="center" vertical="center" wrapText="1"/>
    </xf>
    <xf numFmtId="0" fontId="6" fillId="0" borderId="8" xfId="0" applyFont="1" applyBorder="1" applyAlignment="1">
      <alignment vertical="center" wrapText="1"/>
    </xf>
    <xf numFmtId="0" fontId="6" fillId="0" borderId="8" xfId="0" applyFont="1" applyBorder="1" applyAlignment="1">
      <alignment vertical="center"/>
    </xf>
    <xf numFmtId="0" fontId="7" fillId="0" borderId="9" xfId="0" applyFont="1" applyBorder="1" applyAlignment="1">
      <alignment horizontal="right" vertical="center" wrapText="1"/>
    </xf>
    <xf numFmtId="0" fontId="6" fillId="7" borderId="9" xfId="0" applyFont="1" applyFill="1" applyBorder="1" applyAlignment="1">
      <alignment vertical="center" wrapText="1"/>
    </xf>
    <xf numFmtId="0" fontId="6" fillId="0" borderId="0" xfId="4" applyFont="1">
      <alignment horizontal="left" vertical="center"/>
    </xf>
    <xf numFmtId="14" fontId="6" fillId="0" borderId="1" xfId="0" applyNumberFormat="1" applyFont="1" applyBorder="1" applyAlignment="1">
      <alignment horizontal="left" vertical="center" wrapText="1"/>
    </xf>
    <xf numFmtId="0" fontId="10" fillId="7" borderId="10" xfId="0" applyFont="1" applyFill="1" applyBorder="1" applyAlignment="1">
      <alignment horizontal="center" vertical="center" wrapText="1"/>
    </xf>
    <xf numFmtId="0" fontId="9" fillId="0" borderId="11" xfId="0" applyFont="1" applyBorder="1" applyAlignment="1" applyProtection="1">
      <alignment vertical="center" wrapText="1"/>
      <protection hidden="1"/>
    </xf>
    <xf numFmtId="164" fontId="6" fillId="0" borderId="12" xfId="5" applyFont="1" applyFill="1" applyBorder="1" applyAlignment="1">
      <alignment horizontal="left" vertical="center"/>
    </xf>
    <xf numFmtId="0" fontId="6" fillId="0" borderId="12" xfId="0" applyFont="1" applyBorder="1" applyAlignment="1">
      <alignment vertical="center" wrapText="1"/>
    </xf>
    <xf numFmtId="164" fontId="6" fillId="0" borderId="12" xfId="5" applyFont="1" applyFill="1" applyBorder="1" applyAlignment="1">
      <alignment vertical="center" wrapText="1"/>
    </xf>
    <xf numFmtId="9" fontId="6" fillId="0" borderId="12" xfId="6" applyFont="1" applyFill="1" applyBorder="1" applyAlignment="1">
      <alignment vertical="center" wrapText="1"/>
    </xf>
    <xf numFmtId="14" fontId="6" fillId="0" borderId="12" xfId="5" applyNumberFormat="1" applyFont="1" applyFill="1" applyBorder="1" applyAlignment="1">
      <alignment vertical="center" wrapText="1"/>
    </xf>
    <xf numFmtId="164" fontId="6" fillId="0" borderId="12" xfId="5" applyFont="1" applyFill="1" applyBorder="1" applyAlignment="1">
      <alignment horizontal="left" vertical="center" wrapText="1"/>
    </xf>
    <xf numFmtId="14" fontId="11" fillId="0" borderId="0" xfId="0" applyNumberFormat="1" applyFont="1" applyAlignment="1">
      <alignment horizontal="left" vertical="center" wrapText="1"/>
    </xf>
  </cellXfs>
  <cellStyles count="7">
    <cellStyle name="Datum" xfId="5" xr:uid="{00000000-0005-0000-0000-000000000000}"/>
    <cellStyle name="Prozent" xfId="6" builtinId="5"/>
    <cellStyle name="Standard" xfId="0" builtinId="0" customBuiltin="1"/>
    <cellStyle name="Überschrift" xfId="1" builtinId="15" customBuiltin="1"/>
    <cellStyle name="Überschrift 1" xfId="2" builtinId="16" customBuiltin="1"/>
    <cellStyle name="Überschrift 2" xfId="3" builtinId="17" customBuiltin="1"/>
    <cellStyle name="Überschrift 3" xfId="4" builtinId="18" customBuiltin="1"/>
  </cellStyles>
  <dxfs count="27">
    <dxf>
      <fill>
        <patternFill>
          <bgColor theme="0" tint="-0.14996795556505021"/>
        </patternFill>
      </fill>
    </dxf>
    <dxf>
      <fill>
        <patternFill>
          <bgColor theme="0" tint="-0.14996795556505021"/>
        </patternFill>
      </fill>
    </dxf>
    <dxf>
      <fill>
        <patternFill>
          <bgColor theme="4" tint="0.59996337778862885"/>
        </patternFill>
      </fill>
    </dxf>
    <dxf>
      <fill>
        <patternFill>
          <bgColor theme="9" tint="0.59996337778862885"/>
        </patternFill>
      </fill>
    </dxf>
    <dxf>
      <fill>
        <patternFill>
          <bgColor theme="6" tint="0.59996337778862885"/>
        </patternFill>
      </fill>
    </dxf>
    <dxf>
      <fill>
        <patternFill>
          <bgColor theme="6"/>
        </patternFill>
      </fill>
    </dxf>
    <dxf>
      <border>
        <left style="thin">
          <color rgb="FFFF0000"/>
        </left>
        <right style="thin">
          <color rgb="FFFF0000"/>
        </right>
        <vertical/>
        <horizontal/>
      </border>
    </dxf>
    <dxf>
      <fill>
        <patternFill>
          <bgColor theme="4" tint="0.59996337778862885"/>
        </patternFill>
      </fill>
    </dxf>
    <dxf>
      <fill>
        <patternFill>
          <bgColor theme="9" tint="0.39994506668294322"/>
        </patternFill>
      </fill>
    </dxf>
    <dxf>
      <fill>
        <patternFill>
          <bgColor theme="6" tint="0.59996337778862885"/>
        </patternFill>
      </fill>
    </dxf>
    <dxf>
      <fill>
        <patternFill>
          <bgColor theme="6"/>
        </patternFill>
      </fill>
    </dxf>
    <dxf>
      <fill>
        <patternFill>
          <bgColor theme="5" tint="0.59996337778862885"/>
        </patternFill>
      </fill>
    </dxf>
    <dxf>
      <fill>
        <patternFill>
          <bgColor theme="5" tint="0.39994506668294322"/>
        </patternFill>
      </fill>
    </dxf>
    <dxf>
      <fill>
        <patternFill>
          <bgColor theme="0" tint="-0.14996795556505021"/>
        </patternFill>
      </fill>
    </dxf>
    <dxf>
      <fill>
        <patternFill>
          <bgColor theme="0" tint="-0.14996795556505021"/>
        </patternFill>
      </fill>
    </dxf>
    <dxf>
      <font>
        <b val="0"/>
        <i val="0"/>
        <strike val="0"/>
        <condense val="0"/>
        <extend val="0"/>
        <outline val="0"/>
        <shadow val="0"/>
        <u val="none"/>
        <vertAlign val="baseline"/>
        <sz val="11"/>
        <color auto="1"/>
        <name val="Calibri"/>
        <family val="2"/>
        <scheme val="none"/>
      </font>
      <numFmt numFmtId="19" formatCode="dd/mm/yyyy"/>
      <fill>
        <patternFill patternType="none">
          <fgColor indexed="64"/>
          <bgColor indexed="65"/>
        </patternFill>
      </fill>
      <alignment horizontal="general" vertical="center" textRotation="0" wrapText="1"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auto="1"/>
        <name val="Calibri"/>
        <family val="2"/>
        <scheme val="none"/>
      </font>
      <numFmt numFmtId="19" formatCode="dd/mm/yyyy"/>
      <fill>
        <patternFill patternType="none">
          <fgColor indexed="64"/>
          <bgColor indexed="65"/>
        </patternFill>
      </fill>
      <alignment horizontal="general" vertical="center" textRotation="0" wrapText="1"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border outline="0">
        <bottom style="thin">
          <color theme="0" tint="-0.14993743705557422"/>
        </bottom>
      </border>
    </dxf>
    <dxf>
      <font>
        <b/>
        <i val="0"/>
        <strike val="0"/>
        <condense val="0"/>
        <extend val="0"/>
        <outline val="0"/>
        <shadow val="0"/>
        <u val="none"/>
        <vertAlign val="baseline"/>
        <sz val="11"/>
        <color auto="1"/>
        <name val="Calibri"/>
        <family val="2"/>
        <scheme val="none"/>
      </font>
      <fill>
        <patternFill patternType="solid">
          <fgColor indexed="64"/>
          <bgColor theme="3" tint="0.59999389629810485"/>
        </patternFill>
      </fill>
    </dxf>
    <dxf>
      <fill>
        <patternFill patternType="solid">
          <fgColor theme="4" tint="0.79998168889431442"/>
          <bgColor theme="4" tint="0.79998168889431442"/>
        </patternFill>
      </fill>
    </dxf>
    <dxf>
      <font>
        <b/>
        <color theme="0"/>
      </font>
      <fill>
        <patternFill patternType="solid">
          <fgColor theme="4"/>
          <bgColor theme="4" tint="-0.24994659260841701"/>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2" defaultTableStyle="To do list for projects" defaultPivotStyle="PivotStyleLight16">
    <tableStyle name="Tabellenformat 1" pivot="0" count="0" xr9:uid="{0AFE6E2F-C66D-4B7A-80E2-7657D1B9F17A}"/>
    <tableStyle name="To do list for projects" pivot="0" count="3" xr9:uid="{00000000-0011-0000-FFFF-FFFF00000000}">
      <tableStyleElement type="wholeTable" dxfId="26"/>
      <tableStyleElement type="headerRow" dxfId="25"/>
      <tableStyleElement type="firstRowStripe" dxfId="24"/>
    </tableStyle>
  </tableStyles>
  <colors>
    <indexedColors>
      <rgbColor rgb="00000000"/>
      <rgbColor rgb="00FFFFFF"/>
      <rgbColor rgb="00FF0000"/>
      <rgbColor rgb="0000FF00"/>
      <rgbColor rgb="000000FF"/>
      <rgbColor rgb="00FFFF00"/>
      <rgbColor rgb="00FF00FF"/>
      <rgbColor rgb="0000FFFF"/>
      <rgbColor rgb="00DADAE6"/>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6F6CA"/>
      <rgbColor rgb="00CC99FF"/>
      <rgbColor rgb="00ECECF2"/>
      <rgbColor rgb="003366FF"/>
      <rgbColor rgb="0033CCCC"/>
      <rgbColor rgb="0099CC00"/>
      <rgbColor rgb="00FFCC00"/>
      <rgbColor rgb="00FF9900"/>
      <rgbColor rgb="00FF6600"/>
      <rgbColor rgb="004A4A6E"/>
      <rgbColor rgb="00969696"/>
      <rgbColor rgb="00003366"/>
      <rgbColor rgb="00339966"/>
      <rgbColor rgb="00003300"/>
      <rgbColor rgb="00333300"/>
      <rgbColor rgb="00993300"/>
      <rgbColor rgb="00993366"/>
      <rgbColor rgb="00333399"/>
      <rgbColor rgb="00333333"/>
    </indexedColors>
    <mruColors>
      <color rgb="FFFBE870"/>
      <color rgb="FFFFCC00"/>
      <color rgb="FF004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28F5E3-EABF-4465-A595-E27A8EE02715}" name="Tabelle2" displayName="Tabelle2" ref="B6:H38" totalsRowShown="0" headerRowDxfId="23" tableBorderDxfId="22" headerRowCellStyle="Überschrift 3">
  <autoFilter ref="B6:H38" xr:uid="{AD28F5E3-EABF-4465-A595-E27A8EE02715}"/>
  <tableColumns count="7">
    <tableColumn id="2" xr3:uid="{493C2E7B-B8E9-4CD7-B13B-1D63C0C80ECE}" name="Aufgabe" dataDxfId="21" dataCellStyle="Datum"/>
    <tableColumn id="3" xr3:uid="{4D9FFE23-1CD1-4DE5-9553-1F20F4C24F57}" name="Arbeitspaket" dataDxfId="20" dataCellStyle="Datum"/>
    <tableColumn id="5" xr3:uid="{DC7C27F4-C48D-412E-99CF-00908049FDBC}" name="Verantwortlich" dataDxfId="19" dataCellStyle="Datum"/>
    <tableColumn id="6" xr3:uid="{F615D30E-B873-43D4-8BD2-6C9F545D13C3}" name="Status" dataDxfId="18" dataCellStyle="Datum"/>
    <tableColumn id="7" xr3:uid="{F3E22332-83C6-4AC4-BDDB-BA80BB991938}" name="Fortschritt" dataDxfId="17" dataCellStyle="Prozent"/>
    <tableColumn id="8" xr3:uid="{F53701BC-6CCA-43C4-93B7-6E29912055AB}" name="Start" dataDxfId="16" dataCellStyle="Datum"/>
    <tableColumn id="9" xr3:uid="{72585E73-3C7F-4993-B727-FC0F9D8B8EED}" name="Ende" dataDxfId="15" dataCellStyle="Datum"/>
  </tableColumns>
  <tableStyleInfo name="To do list for projects"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outlinePr summaryBelow="0"/>
    <pageSetUpPr fitToPage="1"/>
  </sheetPr>
  <dimension ref="B1:CN38"/>
  <sheetViews>
    <sheetView showGridLines="0" tabSelected="1" zoomScaleNormal="100" workbookViewId="0">
      <pane xSplit="9" topLeftCell="BP1" activePane="topRight" state="frozen"/>
      <selection pane="topRight" activeCell="CP10" sqref="CP10"/>
    </sheetView>
  </sheetViews>
  <sheetFormatPr baseColWidth="10" defaultColWidth="9" defaultRowHeight="14.5" outlineLevelRow="1" x14ac:dyDescent="0.3"/>
  <cols>
    <col min="1" max="1" width="2.58203125" style="3" customWidth="1"/>
    <col min="2" max="2" width="21.75" style="7" customWidth="1"/>
    <col min="3" max="3" width="29.08203125" style="3" bestFit="1" customWidth="1"/>
    <col min="4" max="4" width="14.58203125" style="3" bestFit="1" customWidth="1"/>
    <col min="5" max="5" width="13.25" style="3" customWidth="1"/>
    <col min="6" max="6" width="10.83203125" style="3" bestFit="1" customWidth="1"/>
    <col min="7" max="7" width="9" style="5" bestFit="1" customWidth="1"/>
    <col min="8" max="8" width="9" style="3" bestFit="1" customWidth="1"/>
    <col min="9" max="9" width="8.25" style="3" customWidth="1"/>
    <col min="10" max="92" width="2.75" style="3" customWidth="1"/>
    <col min="93" max="16384" width="9" style="3"/>
  </cols>
  <sheetData>
    <row r="1" spans="2:92" ht="57.75" customHeight="1" x14ac:dyDescent="0.35">
      <c r="C1" s="4" t="s">
        <v>0</v>
      </c>
      <c r="G1" s="36" t="s">
        <v>1</v>
      </c>
      <c r="H1" s="6"/>
      <c r="R1" s="12"/>
      <c r="S1" s="12"/>
    </row>
    <row r="3" spans="2:92" x14ac:dyDescent="0.3">
      <c r="B3" s="7" t="s">
        <v>2</v>
      </c>
      <c r="C3" s="27">
        <v>45938</v>
      </c>
      <c r="H3" s="13"/>
      <c r="I3" s="24" t="s">
        <v>3</v>
      </c>
      <c r="J3" s="23" t="str">
        <f>TEXT(N5,"MMMM JJJJ")</f>
        <v>Oktober 2025</v>
      </c>
      <c r="K3" s="22"/>
      <c r="L3" s="22"/>
      <c r="M3" s="22"/>
      <c r="N3" s="22"/>
      <c r="O3" s="23" t="str">
        <f t="shared" ref="O3" si="0">IF(OR(DAY(O5)=1,DAY(P5)=1,DAY(Q5)=1,DAY(R5)=1,DAY(S5)=1),TEXT(S5,"MMMM JJJJ"),"")</f>
        <v/>
      </c>
      <c r="P3" s="22"/>
      <c r="Q3" s="22"/>
      <c r="R3" s="22"/>
      <c r="S3" s="22"/>
      <c r="T3" s="23" t="str">
        <f t="shared" ref="T3" si="1">IF(OR(DAY(T5)=1,DAY(U5)=1,DAY(V5)=1,DAY(W5)=1,DAY(X5)=1),TEXT(X5,"MMMM JJJJ"),"")</f>
        <v/>
      </c>
      <c r="U3" s="22"/>
      <c r="V3" s="22"/>
      <c r="W3" s="22"/>
      <c r="X3" s="22"/>
      <c r="Y3" s="23" t="str">
        <f t="shared" ref="Y3" si="2">IF(OR(DAY(Y5)=1,DAY(Z5)=1,DAY(AA5)=1,DAY(AB5)=1,DAY(AC5)=1),TEXT(AC5,"MMMM JJJJ"),"")</f>
        <v/>
      </c>
      <c r="Z3" s="22"/>
      <c r="AA3" s="22"/>
      <c r="AB3" s="22"/>
      <c r="AC3" s="22"/>
      <c r="AD3" s="23" t="str">
        <f t="shared" ref="AD3" si="3">IF(OR(DAY(AD5)=1,DAY(AE5)=1,DAY(AF5)=1,DAY(AG5)=1,DAY(AH5)=1),TEXT(AH5,"MMMM JJJJ"),"")</f>
        <v/>
      </c>
      <c r="AE3" s="22"/>
      <c r="AF3" s="22"/>
      <c r="AG3" s="22"/>
      <c r="AH3" s="22"/>
      <c r="AI3" s="23" t="str">
        <f t="shared" ref="AI3" si="4">IF(OR(DAY(AI5)=1,DAY(AJ5)=1,DAY(AK5)=1,DAY(AL5)=1,DAY(AM5)=1),TEXT(AM5,"MMMM JJJJ"),"")</f>
        <v/>
      </c>
      <c r="AJ3" s="22"/>
      <c r="AK3" s="22"/>
      <c r="AL3" s="22"/>
      <c r="AM3" s="22"/>
      <c r="AN3" s="23" t="str">
        <f t="shared" ref="AN3" si="5">IF(OR(DAY(AN5)=1,DAY(AO5)=1,DAY(AP5)=1,DAY(AQ5)=1,DAY(AR5)=1),TEXT(AR5,"MMMM JJJJ"),"")</f>
        <v/>
      </c>
      <c r="AO3" s="22"/>
      <c r="AP3" s="22"/>
      <c r="AQ3" s="22"/>
      <c r="AR3" s="22"/>
      <c r="AS3" s="23" t="str">
        <f t="shared" ref="AS3" si="6">IF(OR(DAY(AS5)=1,DAY(AT5)=1,DAY(AU5)=1,DAY(AV5)=1,DAY(AW5)=1),TEXT(AW5,"MMMM JJJJ"),"")</f>
        <v/>
      </c>
      <c r="AT3" s="22"/>
      <c r="AU3" s="22"/>
      <c r="AV3" s="22"/>
      <c r="AW3" s="22"/>
      <c r="AX3" s="23" t="str">
        <f t="shared" ref="AX3" si="7">IF(OR(DAY(AX5)=1,DAY(AY5)=1,DAY(AZ5)=1,DAY(BA5)=1,DAY(BB5)=1),TEXT(BB5,"MMMM JJJJ"),"")</f>
        <v>Dezember 2025</v>
      </c>
      <c r="AY3" s="22"/>
      <c r="AZ3" s="22"/>
      <c r="BA3" s="22"/>
      <c r="BB3" s="22"/>
      <c r="BC3" s="23" t="str">
        <f t="shared" ref="BC3" si="8">IF(OR(DAY(BC5)=1,DAY(BD5)=1,DAY(BE5)=1,DAY(BF5)=1,DAY(BG5)=1),TEXT(BG5,"MMMM JJJJ"),"")</f>
        <v/>
      </c>
      <c r="BD3" s="22"/>
      <c r="BE3" s="22"/>
      <c r="BF3" s="22"/>
      <c r="BG3" s="22"/>
      <c r="BH3" s="23" t="str">
        <f t="shared" ref="BH3" si="9">IF(OR(DAY(BH5)=1,DAY(BI5)=1,DAY(BJ5)=1,DAY(BK5)=1,DAY(BL5)=1),TEXT(BL5,"MMMM JJJJ"),"")</f>
        <v/>
      </c>
      <c r="BI3" s="22"/>
      <c r="BJ3" s="22"/>
      <c r="BK3" s="22"/>
      <c r="BL3" s="22"/>
      <c r="BM3" s="23" t="str">
        <f t="shared" ref="BM3" si="10">IF(OR(DAY(BM5)=1,DAY(BN5)=1,DAY(BO5)=1,DAY(BP5)=1,DAY(BQ5)=1),TEXT(BQ5,"MMMM JJJJ"),"")</f>
        <v/>
      </c>
      <c r="BN3" s="22"/>
      <c r="BO3" s="22"/>
      <c r="BP3" s="22"/>
      <c r="BQ3" s="22"/>
      <c r="BR3" s="23" t="str">
        <f t="shared" ref="BR3" si="11">IF(OR(DAY(BR5)=1,DAY(BS5)=1,DAY(BT5)=1,DAY(BU5)=1,DAY(BV5)=1),TEXT(BV5,"MMMM JJJJ"),"")</f>
        <v>Januar 2026</v>
      </c>
      <c r="BS3" s="22"/>
      <c r="BT3" s="22"/>
      <c r="BU3" s="22"/>
      <c r="BV3" s="22"/>
      <c r="BW3" s="23" t="str">
        <f t="shared" ref="BW3" si="12">IF(OR(DAY(BW5)=1,DAY(BX5)=1,DAY(BY5)=1,DAY(BZ5)=1,DAY(CA5)=1),TEXT(CA5,"MMMM JJJJ"),"")</f>
        <v/>
      </c>
      <c r="BX3" s="22"/>
      <c r="BY3" s="22"/>
      <c r="BZ3" s="22"/>
      <c r="CA3" s="22"/>
      <c r="CB3" s="23" t="str">
        <f t="shared" ref="CB3" si="13">IF(OR(DAY(CB5)=1,DAY(CC5)=1,DAY(CD5)=1,DAY(CE5)=1,DAY(CF5)=1),TEXT(CF5,"MMMM JJJJ"),"")</f>
        <v/>
      </c>
      <c r="CC3" s="22"/>
      <c r="CD3" s="22"/>
      <c r="CE3" s="22"/>
      <c r="CF3" s="22"/>
      <c r="CG3" s="23" t="str">
        <f t="shared" ref="CG3" si="14">IF(OR(DAY(CG5)=1,DAY(CH5)=1,DAY(CI5)=1,DAY(CJ5)=1,DAY(CK5)=1),TEXT(CK5,"MMMM JJJJ"),"")</f>
        <v/>
      </c>
      <c r="CH3" s="22"/>
      <c r="CI3" s="22"/>
      <c r="CJ3" s="22"/>
      <c r="CK3" s="22"/>
      <c r="CL3" s="23" t="e">
        <f>IF(OR(DAY(CL5)=1,DAY(CM5)=1,DAY(CN5)=1,DAY(#REF!)=1,DAY(#REF!)=1),TEXT(#REF!,"MMMM JJJJ"),"")</f>
        <v>#REF!</v>
      </c>
      <c r="CM3" s="22"/>
      <c r="CN3" s="22"/>
    </row>
    <row r="4" spans="2:92" x14ac:dyDescent="0.3">
      <c r="B4" s="26"/>
      <c r="C4" s="7"/>
      <c r="I4" s="24" t="s">
        <v>4</v>
      </c>
      <c r="J4" s="15">
        <f>IF(WEEKDAY(J5,2)=1,WEEKNUM(J5,2),"")</f>
        <v>41</v>
      </c>
      <c r="K4" s="15" t="str">
        <f t="shared" ref="K4:BV4" si="15">IF(WEEKDAY(K5,2)=1,WEEKNUM(K5,2),"")</f>
        <v/>
      </c>
      <c r="L4" s="15" t="str">
        <f t="shared" si="15"/>
        <v/>
      </c>
      <c r="M4" s="15" t="str">
        <f t="shared" si="15"/>
        <v/>
      </c>
      <c r="N4" s="16" t="str">
        <f t="shared" si="15"/>
        <v/>
      </c>
      <c r="O4" s="14">
        <f t="shared" si="15"/>
        <v>42</v>
      </c>
      <c r="P4" s="15" t="str">
        <f t="shared" si="15"/>
        <v/>
      </c>
      <c r="Q4" s="15" t="str">
        <f t="shared" si="15"/>
        <v/>
      </c>
      <c r="R4" s="15" t="str">
        <f t="shared" si="15"/>
        <v/>
      </c>
      <c r="S4" s="16" t="str">
        <f t="shared" si="15"/>
        <v/>
      </c>
      <c r="T4" s="14">
        <f t="shared" si="15"/>
        <v>43</v>
      </c>
      <c r="U4" s="15" t="str">
        <f t="shared" si="15"/>
        <v/>
      </c>
      <c r="V4" s="15" t="str">
        <f t="shared" si="15"/>
        <v/>
      </c>
      <c r="W4" s="15" t="str">
        <f t="shared" si="15"/>
        <v/>
      </c>
      <c r="X4" s="16" t="str">
        <f t="shared" si="15"/>
        <v/>
      </c>
      <c r="Y4" s="14">
        <f t="shared" si="15"/>
        <v>44</v>
      </c>
      <c r="Z4" s="15" t="str">
        <f t="shared" si="15"/>
        <v/>
      </c>
      <c r="AA4" s="15" t="str">
        <f t="shared" si="15"/>
        <v/>
      </c>
      <c r="AB4" s="15" t="str">
        <f t="shared" si="15"/>
        <v/>
      </c>
      <c r="AC4" s="16" t="str">
        <f t="shared" si="15"/>
        <v/>
      </c>
      <c r="AD4" s="14">
        <f t="shared" si="15"/>
        <v>45</v>
      </c>
      <c r="AE4" s="15" t="str">
        <f t="shared" si="15"/>
        <v/>
      </c>
      <c r="AF4" s="15" t="str">
        <f t="shared" si="15"/>
        <v/>
      </c>
      <c r="AG4" s="15" t="str">
        <f t="shared" si="15"/>
        <v/>
      </c>
      <c r="AH4" s="16" t="str">
        <f t="shared" si="15"/>
        <v/>
      </c>
      <c r="AI4" s="14">
        <f t="shared" si="15"/>
        <v>46</v>
      </c>
      <c r="AJ4" s="15" t="str">
        <f t="shared" si="15"/>
        <v/>
      </c>
      <c r="AK4" s="15" t="str">
        <f t="shared" si="15"/>
        <v/>
      </c>
      <c r="AL4" s="15" t="str">
        <f t="shared" si="15"/>
        <v/>
      </c>
      <c r="AM4" s="16" t="str">
        <f t="shared" si="15"/>
        <v/>
      </c>
      <c r="AN4" s="14">
        <f t="shared" si="15"/>
        <v>47</v>
      </c>
      <c r="AO4" s="15" t="str">
        <f t="shared" si="15"/>
        <v/>
      </c>
      <c r="AP4" s="15" t="str">
        <f t="shared" si="15"/>
        <v/>
      </c>
      <c r="AQ4" s="15" t="str">
        <f t="shared" si="15"/>
        <v/>
      </c>
      <c r="AR4" s="16" t="str">
        <f t="shared" si="15"/>
        <v/>
      </c>
      <c r="AS4" s="14">
        <f t="shared" si="15"/>
        <v>48</v>
      </c>
      <c r="AT4" s="15" t="str">
        <f t="shared" si="15"/>
        <v/>
      </c>
      <c r="AU4" s="15" t="str">
        <f t="shared" si="15"/>
        <v/>
      </c>
      <c r="AV4" s="15" t="str">
        <f t="shared" si="15"/>
        <v/>
      </c>
      <c r="AW4" s="16" t="str">
        <f t="shared" si="15"/>
        <v/>
      </c>
      <c r="AX4" s="14">
        <f t="shared" si="15"/>
        <v>49</v>
      </c>
      <c r="AY4" s="15" t="str">
        <f t="shared" si="15"/>
        <v/>
      </c>
      <c r="AZ4" s="15" t="str">
        <f t="shared" si="15"/>
        <v/>
      </c>
      <c r="BA4" s="15" t="str">
        <f t="shared" si="15"/>
        <v/>
      </c>
      <c r="BB4" s="16" t="str">
        <f t="shared" si="15"/>
        <v/>
      </c>
      <c r="BC4" s="14">
        <f t="shared" si="15"/>
        <v>50</v>
      </c>
      <c r="BD4" s="15" t="str">
        <f t="shared" si="15"/>
        <v/>
      </c>
      <c r="BE4" s="15" t="str">
        <f t="shared" si="15"/>
        <v/>
      </c>
      <c r="BF4" s="15" t="str">
        <f t="shared" si="15"/>
        <v/>
      </c>
      <c r="BG4" s="16" t="str">
        <f t="shared" si="15"/>
        <v/>
      </c>
      <c r="BH4" s="14">
        <f t="shared" si="15"/>
        <v>51</v>
      </c>
      <c r="BI4" s="15" t="str">
        <f t="shared" si="15"/>
        <v/>
      </c>
      <c r="BJ4" s="15" t="str">
        <f t="shared" si="15"/>
        <v/>
      </c>
      <c r="BK4" s="15" t="str">
        <f t="shared" si="15"/>
        <v/>
      </c>
      <c r="BL4" s="16" t="str">
        <f t="shared" si="15"/>
        <v/>
      </c>
      <c r="BM4" s="14">
        <f t="shared" si="15"/>
        <v>52</v>
      </c>
      <c r="BN4" s="15" t="str">
        <f t="shared" si="15"/>
        <v/>
      </c>
      <c r="BO4" s="15" t="str">
        <f t="shared" si="15"/>
        <v/>
      </c>
      <c r="BP4" s="15" t="str">
        <f t="shared" si="15"/>
        <v/>
      </c>
      <c r="BQ4" s="16" t="str">
        <f t="shared" si="15"/>
        <v/>
      </c>
      <c r="BR4" s="14">
        <f t="shared" si="15"/>
        <v>53</v>
      </c>
      <c r="BS4" s="15" t="str">
        <f t="shared" si="15"/>
        <v/>
      </c>
      <c r="BT4" s="15" t="str">
        <f t="shared" si="15"/>
        <v/>
      </c>
      <c r="BU4" s="15" t="str">
        <f t="shared" si="15"/>
        <v/>
      </c>
      <c r="BV4" s="16" t="str">
        <f t="shared" si="15"/>
        <v/>
      </c>
      <c r="BW4" s="14">
        <f t="shared" ref="BW4:CN4" si="16">IF(WEEKDAY(BW5,2)=1,WEEKNUM(BW5,2),"")</f>
        <v>2</v>
      </c>
      <c r="BX4" s="15" t="str">
        <f t="shared" si="16"/>
        <v/>
      </c>
      <c r="BY4" s="15" t="str">
        <f t="shared" si="16"/>
        <v/>
      </c>
      <c r="BZ4" s="15" t="str">
        <f t="shared" si="16"/>
        <v/>
      </c>
      <c r="CA4" s="16" t="str">
        <f t="shared" si="16"/>
        <v/>
      </c>
      <c r="CB4" s="14">
        <f t="shared" si="16"/>
        <v>3</v>
      </c>
      <c r="CC4" s="15" t="str">
        <f t="shared" si="16"/>
        <v/>
      </c>
      <c r="CD4" s="15" t="str">
        <f t="shared" si="16"/>
        <v/>
      </c>
      <c r="CE4" s="15" t="str">
        <f t="shared" si="16"/>
        <v/>
      </c>
      <c r="CF4" s="16" t="str">
        <f t="shared" si="16"/>
        <v/>
      </c>
      <c r="CG4" s="14">
        <f t="shared" si="16"/>
        <v>4</v>
      </c>
      <c r="CH4" s="15" t="str">
        <f t="shared" si="16"/>
        <v/>
      </c>
      <c r="CI4" s="15" t="str">
        <f t="shared" si="16"/>
        <v/>
      </c>
      <c r="CJ4" s="15" t="str">
        <f t="shared" si="16"/>
        <v/>
      </c>
      <c r="CK4" s="16" t="str">
        <f t="shared" si="16"/>
        <v/>
      </c>
      <c r="CL4" s="14">
        <f t="shared" si="16"/>
        <v>5</v>
      </c>
      <c r="CM4" s="15" t="str">
        <f t="shared" si="16"/>
        <v/>
      </c>
      <c r="CN4" s="15" t="str">
        <f t="shared" si="16"/>
        <v/>
      </c>
    </row>
    <row r="5" spans="2:92" x14ac:dyDescent="0.3">
      <c r="I5" s="24" t="s">
        <v>5</v>
      </c>
      <c r="J5" s="20">
        <f>$C$3-WEEKDAY(Startdatum,3)</f>
        <v>45936</v>
      </c>
      <c r="K5" s="20">
        <f>WORKDAY(J5,1)</f>
        <v>45937</v>
      </c>
      <c r="L5" s="20">
        <f t="shared" ref="L5:BW5" si="17">WORKDAY(K5,1)</f>
        <v>45938</v>
      </c>
      <c r="M5" s="20">
        <f t="shared" si="17"/>
        <v>45939</v>
      </c>
      <c r="N5" s="21">
        <f t="shared" si="17"/>
        <v>45940</v>
      </c>
      <c r="O5" s="19">
        <f t="shared" si="17"/>
        <v>45943</v>
      </c>
      <c r="P5" s="20">
        <f t="shared" si="17"/>
        <v>45944</v>
      </c>
      <c r="Q5" s="20">
        <f t="shared" si="17"/>
        <v>45945</v>
      </c>
      <c r="R5" s="20">
        <f t="shared" si="17"/>
        <v>45946</v>
      </c>
      <c r="S5" s="21">
        <f t="shared" si="17"/>
        <v>45947</v>
      </c>
      <c r="T5" s="19">
        <f t="shared" si="17"/>
        <v>45950</v>
      </c>
      <c r="U5" s="20">
        <f t="shared" si="17"/>
        <v>45951</v>
      </c>
      <c r="V5" s="20">
        <f t="shared" si="17"/>
        <v>45952</v>
      </c>
      <c r="W5" s="20">
        <f t="shared" si="17"/>
        <v>45953</v>
      </c>
      <c r="X5" s="21">
        <f t="shared" si="17"/>
        <v>45954</v>
      </c>
      <c r="Y5" s="19">
        <f t="shared" si="17"/>
        <v>45957</v>
      </c>
      <c r="Z5" s="20">
        <f t="shared" si="17"/>
        <v>45958</v>
      </c>
      <c r="AA5" s="20">
        <f t="shared" si="17"/>
        <v>45959</v>
      </c>
      <c r="AB5" s="20">
        <f t="shared" si="17"/>
        <v>45960</v>
      </c>
      <c r="AC5" s="21">
        <f t="shared" si="17"/>
        <v>45961</v>
      </c>
      <c r="AD5" s="19">
        <f t="shared" si="17"/>
        <v>45964</v>
      </c>
      <c r="AE5" s="20">
        <f t="shared" si="17"/>
        <v>45965</v>
      </c>
      <c r="AF5" s="20">
        <f t="shared" si="17"/>
        <v>45966</v>
      </c>
      <c r="AG5" s="20">
        <f t="shared" si="17"/>
        <v>45967</v>
      </c>
      <c r="AH5" s="21">
        <f t="shared" si="17"/>
        <v>45968</v>
      </c>
      <c r="AI5" s="19">
        <f t="shared" si="17"/>
        <v>45971</v>
      </c>
      <c r="AJ5" s="20">
        <f t="shared" si="17"/>
        <v>45972</v>
      </c>
      <c r="AK5" s="20">
        <f t="shared" si="17"/>
        <v>45973</v>
      </c>
      <c r="AL5" s="20">
        <f t="shared" si="17"/>
        <v>45974</v>
      </c>
      <c r="AM5" s="21">
        <f t="shared" si="17"/>
        <v>45975</v>
      </c>
      <c r="AN5" s="19">
        <f t="shared" si="17"/>
        <v>45978</v>
      </c>
      <c r="AO5" s="20">
        <f t="shared" si="17"/>
        <v>45979</v>
      </c>
      <c r="AP5" s="20">
        <f t="shared" si="17"/>
        <v>45980</v>
      </c>
      <c r="AQ5" s="20">
        <f t="shared" si="17"/>
        <v>45981</v>
      </c>
      <c r="AR5" s="21">
        <f t="shared" si="17"/>
        <v>45982</v>
      </c>
      <c r="AS5" s="19">
        <f t="shared" si="17"/>
        <v>45985</v>
      </c>
      <c r="AT5" s="20">
        <f t="shared" si="17"/>
        <v>45986</v>
      </c>
      <c r="AU5" s="20">
        <f t="shared" si="17"/>
        <v>45987</v>
      </c>
      <c r="AV5" s="20">
        <f t="shared" si="17"/>
        <v>45988</v>
      </c>
      <c r="AW5" s="21">
        <f t="shared" si="17"/>
        <v>45989</v>
      </c>
      <c r="AX5" s="19">
        <f t="shared" si="17"/>
        <v>45992</v>
      </c>
      <c r="AY5" s="20">
        <f t="shared" si="17"/>
        <v>45993</v>
      </c>
      <c r="AZ5" s="20">
        <f t="shared" si="17"/>
        <v>45994</v>
      </c>
      <c r="BA5" s="20">
        <f t="shared" si="17"/>
        <v>45995</v>
      </c>
      <c r="BB5" s="21">
        <f t="shared" si="17"/>
        <v>45996</v>
      </c>
      <c r="BC5" s="19">
        <f t="shared" si="17"/>
        <v>45999</v>
      </c>
      <c r="BD5" s="20">
        <f t="shared" si="17"/>
        <v>46000</v>
      </c>
      <c r="BE5" s="20">
        <f t="shared" si="17"/>
        <v>46001</v>
      </c>
      <c r="BF5" s="20">
        <f t="shared" si="17"/>
        <v>46002</v>
      </c>
      <c r="BG5" s="21">
        <f t="shared" si="17"/>
        <v>46003</v>
      </c>
      <c r="BH5" s="19">
        <f t="shared" si="17"/>
        <v>46006</v>
      </c>
      <c r="BI5" s="20">
        <f t="shared" si="17"/>
        <v>46007</v>
      </c>
      <c r="BJ5" s="20">
        <f t="shared" si="17"/>
        <v>46008</v>
      </c>
      <c r="BK5" s="20">
        <f t="shared" si="17"/>
        <v>46009</v>
      </c>
      <c r="BL5" s="21">
        <f t="shared" si="17"/>
        <v>46010</v>
      </c>
      <c r="BM5" s="19">
        <f t="shared" si="17"/>
        <v>46013</v>
      </c>
      <c r="BN5" s="20">
        <f t="shared" si="17"/>
        <v>46014</v>
      </c>
      <c r="BO5" s="20">
        <f t="shared" si="17"/>
        <v>46015</v>
      </c>
      <c r="BP5" s="20">
        <f t="shared" si="17"/>
        <v>46016</v>
      </c>
      <c r="BQ5" s="21">
        <f t="shared" si="17"/>
        <v>46017</v>
      </c>
      <c r="BR5" s="19">
        <f t="shared" si="17"/>
        <v>46020</v>
      </c>
      <c r="BS5" s="20">
        <f t="shared" si="17"/>
        <v>46021</v>
      </c>
      <c r="BT5" s="20">
        <f t="shared" si="17"/>
        <v>46022</v>
      </c>
      <c r="BU5" s="20">
        <f t="shared" si="17"/>
        <v>46023</v>
      </c>
      <c r="BV5" s="21">
        <f t="shared" si="17"/>
        <v>46024</v>
      </c>
      <c r="BW5" s="19">
        <f t="shared" si="17"/>
        <v>46027</v>
      </c>
      <c r="BX5" s="20">
        <f t="shared" ref="BX5:CN5" si="18">WORKDAY(BW5,1)</f>
        <v>46028</v>
      </c>
      <c r="BY5" s="20">
        <f t="shared" si="18"/>
        <v>46029</v>
      </c>
      <c r="BZ5" s="20">
        <f t="shared" si="18"/>
        <v>46030</v>
      </c>
      <c r="CA5" s="21">
        <f t="shared" si="18"/>
        <v>46031</v>
      </c>
      <c r="CB5" s="19">
        <f t="shared" si="18"/>
        <v>46034</v>
      </c>
      <c r="CC5" s="20">
        <f t="shared" si="18"/>
        <v>46035</v>
      </c>
      <c r="CD5" s="20">
        <f t="shared" si="18"/>
        <v>46036</v>
      </c>
      <c r="CE5" s="20">
        <f t="shared" si="18"/>
        <v>46037</v>
      </c>
      <c r="CF5" s="21">
        <f t="shared" si="18"/>
        <v>46038</v>
      </c>
      <c r="CG5" s="19">
        <f t="shared" si="18"/>
        <v>46041</v>
      </c>
      <c r="CH5" s="20">
        <f t="shared" si="18"/>
        <v>46042</v>
      </c>
      <c r="CI5" s="20">
        <f t="shared" si="18"/>
        <v>46043</v>
      </c>
      <c r="CJ5" s="20">
        <f t="shared" si="18"/>
        <v>46044</v>
      </c>
      <c r="CK5" s="21">
        <f t="shared" si="18"/>
        <v>46045</v>
      </c>
      <c r="CL5" s="19">
        <f t="shared" si="18"/>
        <v>46048</v>
      </c>
      <c r="CM5" s="20">
        <f t="shared" si="18"/>
        <v>46049</v>
      </c>
      <c r="CN5" s="20">
        <f t="shared" si="18"/>
        <v>46050</v>
      </c>
    </row>
    <row r="6" spans="2:92" x14ac:dyDescent="0.3">
      <c r="B6" s="17" t="s">
        <v>6</v>
      </c>
      <c r="C6" s="17" t="s">
        <v>7</v>
      </c>
      <c r="D6" s="17" t="s">
        <v>8</v>
      </c>
      <c r="E6" s="17" t="s">
        <v>9</v>
      </c>
      <c r="F6" s="17" t="s">
        <v>10</v>
      </c>
      <c r="G6" s="18" t="s">
        <v>11</v>
      </c>
      <c r="H6" s="17" t="s">
        <v>12</v>
      </c>
      <c r="I6" s="25"/>
      <c r="J6" s="28" t="str">
        <f>LEFT(TEXT(J5,"TTT"),1)</f>
        <v>M</v>
      </c>
      <c r="K6" s="28" t="str">
        <f t="shared" ref="K6:O6" si="19">LEFT(TEXT(K5,"TTT"),1)</f>
        <v>D</v>
      </c>
      <c r="L6" s="28" t="str">
        <f t="shared" si="19"/>
        <v>M</v>
      </c>
      <c r="M6" s="28" t="str">
        <f t="shared" si="19"/>
        <v>D</v>
      </c>
      <c r="N6" s="28" t="str">
        <f t="shared" si="19"/>
        <v>F</v>
      </c>
      <c r="O6" s="28" t="str">
        <f t="shared" si="19"/>
        <v>M</v>
      </c>
      <c r="P6" s="28" t="str">
        <f t="shared" ref="P6" si="20">LEFT(TEXT(P5,"TTT"),1)</f>
        <v>D</v>
      </c>
      <c r="Q6" s="28" t="str">
        <f t="shared" ref="Q6" si="21">LEFT(TEXT(Q5,"TTT"),1)</f>
        <v>M</v>
      </c>
      <c r="R6" s="28" t="str">
        <f t="shared" ref="R6" si="22">LEFT(TEXT(R5,"TTT"),1)</f>
        <v>D</v>
      </c>
      <c r="S6" s="28" t="str">
        <f t="shared" ref="S6:T6" si="23">LEFT(TEXT(S5,"TTT"),1)</f>
        <v>F</v>
      </c>
      <c r="T6" s="28" t="str">
        <f t="shared" si="23"/>
        <v>M</v>
      </c>
      <c r="U6" s="28" t="str">
        <f t="shared" ref="U6" si="24">LEFT(TEXT(U5,"TTT"),1)</f>
        <v>D</v>
      </c>
      <c r="V6" s="28" t="str">
        <f t="shared" ref="V6" si="25">LEFT(TEXT(V5,"TTT"),1)</f>
        <v>M</v>
      </c>
      <c r="W6" s="28" t="str">
        <f t="shared" ref="W6" si="26">LEFT(TEXT(W5,"TTT"),1)</f>
        <v>D</v>
      </c>
      <c r="X6" s="28" t="str">
        <f t="shared" ref="X6:Y6" si="27">LEFT(TEXT(X5,"TTT"),1)</f>
        <v>F</v>
      </c>
      <c r="Y6" s="28" t="str">
        <f t="shared" si="27"/>
        <v>M</v>
      </c>
      <c r="Z6" s="28" t="str">
        <f t="shared" ref="Z6" si="28">LEFT(TEXT(Z5,"TTT"),1)</f>
        <v>D</v>
      </c>
      <c r="AA6" s="28" t="str">
        <f t="shared" ref="AA6" si="29">LEFT(TEXT(AA5,"TTT"),1)</f>
        <v>M</v>
      </c>
      <c r="AB6" s="28" t="str">
        <f t="shared" ref="AB6" si="30">LEFT(TEXT(AB5,"TTT"),1)</f>
        <v>D</v>
      </c>
      <c r="AC6" s="28" t="str">
        <f t="shared" ref="AC6:AD6" si="31">LEFT(TEXT(AC5,"TTT"),1)</f>
        <v>F</v>
      </c>
      <c r="AD6" s="28" t="str">
        <f t="shared" si="31"/>
        <v>M</v>
      </c>
      <c r="AE6" s="28" t="str">
        <f t="shared" ref="AE6" si="32">LEFT(TEXT(AE5,"TTT"),1)</f>
        <v>D</v>
      </c>
      <c r="AF6" s="28" t="str">
        <f t="shared" ref="AF6" si="33">LEFT(TEXT(AF5,"TTT"),1)</f>
        <v>M</v>
      </c>
      <c r="AG6" s="28" t="str">
        <f t="shared" ref="AG6" si="34">LEFT(TEXT(AG5,"TTT"),1)</f>
        <v>D</v>
      </c>
      <c r="AH6" s="28" t="str">
        <f t="shared" ref="AH6:AI6" si="35">LEFT(TEXT(AH5,"TTT"),1)</f>
        <v>F</v>
      </c>
      <c r="AI6" s="28" t="str">
        <f t="shared" si="35"/>
        <v>M</v>
      </c>
      <c r="AJ6" s="28" t="str">
        <f t="shared" ref="AJ6" si="36">LEFT(TEXT(AJ5,"TTT"),1)</f>
        <v>D</v>
      </c>
      <c r="AK6" s="28" t="str">
        <f t="shared" ref="AK6" si="37">LEFT(TEXT(AK5,"TTT"),1)</f>
        <v>M</v>
      </c>
      <c r="AL6" s="28" t="str">
        <f t="shared" ref="AL6" si="38">LEFT(TEXT(AL5,"TTT"),1)</f>
        <v>D</v>
      </c>
      <c r="AM6" s="28" t="str">
        <f t="shared" ref="AM6:AN6" si="39">LEFT(TEXT(AM5,"TTT"),1)</f>
        <v>F</v>
      </c>
      <c r="AN6" s="28" t="str">
        <f t="shared" si="39"/>
        <v>M</v>
      </c>
      <c r="AO6" s="28" t="str">
        <f t="shared" ref="AO6" si="40">LEFT(TEXT(AO5,"TTT"),1)</f>
        <v>D</v>
      </c>
      <c r="AP6" s="28" t="str">
        <f t="shared" ref="AP6" si="41">LEFT(TEXT(AP5,"TTT"),1)</f>
        <v>M</v>
      </c>
      <c r="AQ6" s="28" t="str">
        <f t="shared" ref="AQ6" si="42">LEFT(TEXT(AQ5,"TTT"),1)</f>
        <v>D</v>
      </c>
      <c r="AR6" s="28" t="str">
        <f t="shared" ref="AR6:AS6" si="43">LEFT(TEXT(AR5,"TTT"),1)</f>
        <v>F</v>
      </c>
      <c r="AS6" s="28" t="str">
        <f t="shared" si="43"/>
        <v>M</v>
      </c>
      <c r="AT6" s="28" t="str">
        <f t="shared" ref="AT6" si="44">LEFT(TEXT(AT5,"TTT"),1)</f>
        <v>D</v>
      </c>
      <c r="AU6" s="28" t="str">
        <f t="shared" ref="AU6" si="45">LEFT(TEXT(AU5,"TTT"),1)</f>
        <v>M</v>
      </c>
      <c r="AV6" s="28" t="str">
        <f t="shared" ref="AV6" si="46">LEFT(TEXT(AV5,"TTT"),1)</f>
        <v>D</v>
      </c>
      <c r="AW6" s="28" t="str">
        <f t="shared" ref="AW6:AX6" si="47">LEFT(TEXT(AW5,"TTT"),1)</f>
        <v>F</v>
      </c>
      <c r="AX6" s="28" t="str">
        <f t="shared" si="47"/>
        <v>M</v>
      </c>
      <c r="AY6" s="28" t="str">
        <f t="shared" ref="AY6" si="48">LEFT(TEXT(AY5,"TTT"),1)</f>
        <v>D</v>
      </c>
      <c r="AZ6" s="28" t="str">
        <f t="shared" ref="AZ6" si="49">LEFT(TEXT(AZ5,"TTT"),1)</f>
        <v>M</v>
      </c>
      <c r="BA6" s="28" t="str">
        <f t="shared" ref="BA6" si="50">LEFT(TEXT(BA5,"TTT"),1)</f>
        <v>D</v>
      </c>
      <c r="BB6" s="28" t="str">
        <f t="shared" ref="BB6" si="51">LEFT(TEXT(BB5,"TTT"),1)</f>
        <v>F</v>
      </c>
      <c r="BC6" s="28" t="str">
        <f t="shared" ref="BC6" si="52">LEFT(TEXT(BC5,"TTT"),1)</f>
        <v>M</v>
      </c>
      <c r="BD6" s="28" t="str">
        <f t="shared" ref="BD6" si="53">LEFT(TEXT(BD5,"TTT"),1)</f>
        <v>D</v>
      </c>
      <c r="BE6" s="28" t="str">
        <f t="shared" ref="BE6" si="54">LEFT(TEXT(BE5,"TTT"),1)</f>
        <v>M</v>
      </c>
      <c r="BF6" s="28" t="str">
        <f t="shared" ref="BF6" si="55">LEFT(TEXT(BF5,"TTT"),1)</f>
        <v>D</v>
      </c>
      <c r="BG6" s="28" t="str">
        <f t="shared" ref="BG6" si="56">LEFT(TEXT(BG5,"TTT"),1)</f>
        <v>F</v>
      </c>
      <c r="BH6" s="28" t="str">
        <f t="shared" ref="BH6" si="57">LEFT(TEXT(BH5,"TTT"),1)</f>
        <v>M</v>
      </c>
      <c r="BI6" s="28" t="str">
        <f t="shared" ref="BI6" si="58">LEFT(TEXT(BI5,"TTT"),1)</f>
        <v>D</v>
      </c>
      <c r="BJ6" s="28" t="str">
        <f t="shared" ref="BJ6" si="59">LEFT(TEXT(BJ5,"TTT"),1)</f>
        <v>M</v>
      </c>
      <c r="BK6" s="28" t="str">
        <f t="shared" ref="BK6" si="60">LEFT(TEXT(BK5,"TTT"),1)</f>
        <v>D</v>
      </c>
      <c r="BL6" s="28" t="str">
        <f t="shared" ref="BL6" si="61">LEFT(TEXT(BL5,"TTT"),1)</f>
        <v>F</v>
      </c>
      <c r="BM6" s="28" t="str">
        <f t="shared" ref="BM6" si="62">LEFT(TEXT(BM5,"TTT"),1)</f>
        <v>M</v>
      </c>
      <c r="BN6" s="28" t="str">
        <f t="shared" ref="BN6" si="63">LEFT(TEXT(BN5,"TTT"),1)</f>
        <v>D</v>
      </c>
      <c r="BO6" s="28" t="str">
        <f t="shared" ref="BO6" si="64">LEFT(TEXT(BO5,"TTT"),1)</f>
        <v>M</v>
      </c>
      <c r="BP6" s="28" t="str">
        <f t="shared" ref="BP6" si="65">LEFT(TEXT(BP5,"TTT"),1)</f>
        <v>D</v>
      </c>
      <c r="BQ6" s="28" t="str">
        <f t="shared" ref="BQ6" si="66">LEFT(TEXT(BQ5,"TTT"),1)</f>
        <v>F</v>
      </c>
      <c r="BR6" s="28" t="str">
        <f t="shared" ref="BR6" si="67">LEFT(TEXT(BR5,"TTT"),1)</f>
        <v>M</v>
      </c>
      <c r="BS6" s="28" t="str">
        <f t="shared" ref="BS6" si="68">LEFT(TEXT(BS5,"TTT"),1)</f>
        <v>D</v>
      </c>
      <c r="BT6" s="28" t="str">
        <f t="shared" ref="BT6" si="69">LEFT(TEXT(BT5,"TTT"),1)</f>
        <v>M</v>
      </c>
      <c r="BU6" s="28" t="str">
        <f t="shared" ref="BU6" si="70">LEFT(TEXT(BU5,"TTT"),1)</f>
        <v>D</v>
      </c>
      <c r="BV6" s="28" t="str">
        <f t="shared" ref="BV6" si="71">LEFT(TEXT(BV5,"TTT"),1)</f>
        <v>F</v>
      </c>
      <c r="BW6" s="28" t="str">
        <f t="shared" ref="BW6" si="72">LEFT(TEXT(BW5,"TTT"),1)</f>
        <v>M</v>
      </c>
      <c r="BX6" s="28" t="str">
        <f t="shared" ref="BX6" si="73">LEFT(TEXT(BX5,"TTT"),1)</f>
        <v>D</v>
      </c>
      <c r="BY6" s="28" t="str">
        <f t="shared" ref="BY6" si="74">LEFT(TEXT(BY5,"TTT"),1)</f>
        <v>M</v>
      </c>
      <c r="BZ6" s="28" t="str">
        <f t="shared" ref="BZ6" si="75">LEFT(TEXT(BZ5,"TTT"),1)</f>
        <v>D</v>
      </c>
      <c r="CA6" s="28" t="str">
        <f t="shared" ref="CA6" si="76">LEFT(TEXT(CA5,"TTT"),1)</f>
        <v>F</v>
      </c>
      <c r="CB6" s="28" t="str">
        <f t="shared" ref="CB6" si="77">LEFT(TEXT(CB5,"TTT"),1)</f>
        <v>M</v>
      </c>
      <c r="CC6" s="28" t="str">
        <f t="shared" ref="CC6" si="78">LEFT(TEXT(CC5,"TTT"),1)</f>
        <v>D</v>
      </c>
      <c r="CD6" s="28" t="str">
        <f t="shared" ref="CD6" si="79">LEFT(TEXT(CD5,"TTT"),1)</f>
        <v>M</v>
      </c>
      <c r="CE6" s="28" t="str">
        <f t="shared" ref="CE6" si="80">LEFT(TEXT(CE5,"TTT"),1)</f>
        <v>D</v>
      </c>
      <c r="CF6" s="28" t="str">
        <f t="shared" ref="CF6" si="81">LEFT(TEXT(CF5,"TTT"),1)</f>
        <v>F</v>
      </c>
      <c r="CG6" s="28" t="str">
        <f t="shared" ref="CG6" si="82">LEFT(TEXT(CG5,"TTT"),1)</f>
        <v>M</v>
      </c>
      <c r="CH6" s="28" t="str">
        <f t="shared" ref="CH6" si="83">LEFT(TEXT(CH5,"TTT"),1)</f>
        <v>D</v>
      </c>
      <c r="CI6" s="28" t="str">
        <f t="shared" ref="CI6" si="84">LEFT(TEXT(CI5,"TTT"),1)</f>
        <v>M</v>
      </c>
      <c r="CJ6" s="28" t="str">
        <f t="shared" ref="CJ6" si="85">LEFT(TEXT(CJ5,"TTT"),1)</f>
        <v>D</v>
      </c>
      <c r="CK6" s="28" t="str">
        <f t="shared" ref="CK6" si="86">LEFT(TEXT(CK5,"TTT"),1)</f>
        <v>F</v>
      </c>
      <c r="CL6" s="28" t="str">
        <f t="shared" ref="CL6" si="87">LEFT(TEXT(CL5,"TTT"),1)</f>
        <v>M</v>
      </c>
      <c r="CM6" s="28" t="str">
        <f t="shared" ref="CM6" si="88">LEFT(TEXT(CM5,"TTT"),1)</f>
        <v>D</v>
      </c>
      <c r="CN6" s="28" t="str">
        <f t="shared" ref="CN6" si="89">LEFT(TEXT(CN5,"TTT"),1)</f>
        <v>M</v>
      </c>
    </row>
    <row r="7" spans="2:92" x14ac:dyDescent="0.3">
      <c r="B7" s="30" t="s">
        <v>13</v>
      </c>
      <c r="C7" s="31"/>
      <c r="D7" s="31"/>
      <c r="E7" s="32"/>
      <c r="F7" s="33"/>
      <c r="G7" s="34"/>
      <c r="H7" s="34"/>
      <c r="I7" s="31"/>
      <c r="J7" s="29">
        <f>IF(AND(J$5&gt;=$G7,J$5&lt;=$H7,$E7="Meilenstein"),1)+IF(AND(J$5&gt;=$G7,J$5&lt;=$H7,$E7="Ziel"),2)</f>
        <v>0</v>
      </c>
      <c r="K7" s="29">
        <f t="shared" ref="K7:BV8" si="90">IF(AND(K$5&gt;=$G7,K$5&lt;=$H7,$E7="Meilenstein"),1)+IF(AND(K$5&gt;=$G7,K$5&lt;=$H7,$E7="Ziel"),2)</f>
        <v>0</v>
      </c>
      <c r="L7" s="29">
        <f t="shared" si="90"/>
        <v>0</v>
      </c>
      <c r="M7" s="29">
        <f t="shared" si="90"/>
        <v>0</v>
      </c>
      <c r="N7" s="29">
        <f t="shared" si="90"/>
        <v>0</v>
      </c>
      <c r="O7" s="29">
        <f t="shared" si="90"/>
        <v>0</v>
      </c>
      <c r="P7" s="29">
        <f t="shared" si="90"/>
        <v>0</v>
      </c>
      <c r="Q7" s="29">
        <f t="shared" si="90"/>
        <v>0</v>
      </c>
      <c r="R7" s="29">
        <f t="shared" si="90"/>
        <v>0</v>
      </c>
      <c r="S7" s="29">
        <f t="shared" si="90"/>
        <v>0</v>
      </c>
      <c r="T7" s="29">
        <f t="shared" si="90"/>
        <v>0</v>
      </c>
      <c r="U7" s="29">
        <f t="shared" si="90"/>
        <v>0</v>
      </c>
      <c r="V7" s="29">
        <f t="shared" si="90"/>
        <v>0</v>
      </c>
      <c r="W7" s="29">
        <f t="shared" si="90"/>
        <v>0</v>
      </c>
      <c r="X7" s="29">
        <f t="shared" si="90"/>
        <v>0</v>
      </c>
      <c r="Y7" s="29">
        <f t="shared" si="90"/>
        <v>0</v>
      </c>
      <c r="Z7" s="29">
        <f t="shared" si="90"/>
        <v>0</v>
      </c>
      <c r="AA7" s="29">
        <f t="shared" si="90"/>
        <v>0</v>
      </c>
      <c r="AB7" s="29">
        <f t="shared" si="90"/>
        <v>0</v>
      </c>
      <c r="AC7" s="29">
        <f t="shared" si="90"/>
        <v>0</v>
      </c>
      <c r="AD7" s="29">
        <f t="shared" si="90"/>
        <v>0</v>
      </c>
      <c r="AE7" s="29">
        <f t="shared" si="90"/>
        <v>0</v>
      </c>
      <c r="AF7" s="29">
        <f t="shared" si="90"/>
        <v>0</v>
      </c>
      <c r="AG7" s="29">
        <f t="shared" si="90"/>
        <v>0</v>
      </c>
      <c r="AH7" s="29">
        <f t="shared" si="90"/>
        <v>0</v>
      </c>
      <c r="AI7" s="29">
        <f t="shared" si="90"/>
        <v>0</v>
      </c>
      <c r="AJ7" s="29">
        <f t="shared" si="90"/>
        <v>0</v>
      </c>
      <c r="AK7" s="29">
        <f t="shared" si="90"/>
        <v>0</v>
      </c>
      <c r="AL7" s="29">
        <f t="shared" si="90"/>
        <v>0</v>
      </c>
      <c r="AM7" s="29">
        <f t="shared" si="90"/>
        <v>0</v>
      </c>
      <c r="AN7" s="29">
        <f t="shared" si="90"/>
        <v>0</v>
      </c>
      <c r="AO7" s="29">
        <f t="shared" si="90"/>
        <v>0</v>
      </c>
      <c r="AP7" s="29">
        <f t="shared" si="90"/>
        <v>0</v>
      </c>
      <c r="AQ7" s="29">
        <f t="shared" si="90"/>
        <v>0</v>
      </c>
      <c r="AR7" s="29">
        <f t="shared" si="90"/>
        <v>0</v>
      </c>
      <c r="AS7" s="29">
        <f t="shared" si="90"/>
        <v>0</v>
      </c>
      <c r="AT7" s="29">
        <f t="shared" si="90"/>
        <v>0</v>
      </c>
      <c r="AU7" s="29">
        <f t="shared" si="90"/>
        <v>0</v>
      </c>
      <c r="AV7" s="29">
        <f t="shared" si="90"/>
        <v>0</v>
      </c>
      <c r="AW7" s="29">
        <f t="shared" si="90"/>
        <v>0</v>
      </c>
      <c r="AX7" s="29">
        <f t="shared" si="90"/>
        <v>0</v>
      </c>
      <c r="AY7" s="29">
        <f t="shared" si="90"/>
        <v>0</v>
      </c>
      <c r="AZ7" s="29">
        <f t="shared" si="90"/>
        <v>0</v>
      </c>
      <c r="BA7" s="29">
        <f t="shared" si="90"/>
        <v>0</v>
      </c>
      <c r="BB7" s="29">
        <f t="shared" si="90"/>
        <v>0</v>
      </c>
      <c r="BC7" s="29">
        <f t="shared" si="90"/>
        <v>0</v>
      </c>
      <c r="BD7" s="29">
        <f t="shared" si="90"/>
        <v>0</v>
      </c>
      <c r="BE7" s="29">
        <f t="shared" si="90"/>
        <v>0</v>
      </c>
      <c r="BF7" s="29">
        <f t="shared" si="90"/>
        <v>0</v>
      </c>
      <c r="BG7" s="29">
        <f t="shared" si="90"/>
        <v>0</v>
      </c>
      <c r="BH7" s="29">
        <f t="shared" si="90"/>
        <v>0</v>
      </c>
      <c r="BI7" s="29">
        <f t="shared" si="90"/>
        <v>0</v>
      </c>
      <c r="BJ7" s="29">
        <f t="shared" si="90"/>
        <v>0</v>
      </c>
      <c r="BK7" s="29">
        <f t="shared" si="90"/>
        <v>0</v>
      </c>
      <c r="BL7" s="29">
        <f t="shared" si="90"/>
        <v>0</v>
      </c>
      <c r="BM7" s="29">
        <f t="shared" si="90"/>
        <v>0</v>
      </c>
      <c r="BN7" s="29">
        <f t="shared" si="90"/>
        <v>0</v>
      </c>
      <c r="BO7" s="29">
        <f t="shared" si="90"/>
        <v>0</v>
      </c>
      <c r="BP7" s="29">
        <f t="shared" si="90"/>
        <v>0</v>
      </c>
      <c r="BQ7" s="29">
        <f t="shared" si="90"/>
        <v>0</v>
      </c>
      <c r="BR7" s="29">
        <f t="shared" si="90"/>
        <v>0</v>
      </c>
      <c r="BS7" s="29">
        <f t="shared" si="90"/>
        <v>0</v>
      </c>
      <c r="BT7" s="29">
        <f t="shared" si="90"/>
        <v>0</v>
      </c>
      <c r="BU7" s="29">
        <f t="shared" si="90"/>
        <v>0</v>
      </c>
      <c r="BV7" s="29">
        <f t="shared" si="90"/>
        <v>0</v>
      </c>
      <c r="BW7" s="29">
        <f t="shared" ref="BW7:CN11" si="91">IF(AND(BW$5&gt;=$G7,BW$5&lt;=$H7,$E7="Meilenstein"),1)+IF(AND(BW$5&gt;=$G7,BW$5&lt;=$H7,$E7="Ziel"),2)</f>
        <v>0</v>
      </c>
      <c r="BX7" s="29">
        <f t="shared" si="91"/>
        <v>0</v>
      </c>
      <c r="BY7" s="29">
        <f t="shared" si="91"/>
        <v>0</v>
      </c>
      <c r="BZ7" s="29">
        <f t="shared" si="91"/>
        <v>0</v>
      </c>
      <c r="CA7" s="29">
        <f t="shared" si="91"/>
        <v>0</v>
      </c>
      <c r="CB7" s="29">
        <f t="shared" si="91"/>
        <v>0</v>
      </c>
      <c r="CC7" s="29">
        <f t="shared" si="91"/>
        <v>0</v>
      </c>
      <c r="CD7" s="29">
        <f t="shared" si="91"/>
        <v>0</v>
      </c>
      <c r="CE7" s="29">
        <f t="shared" si="91"/>
        <v>0</v>
      </c>
      <c r="CF7" s="29">
        <f t="shared" si="91"/>
        <v>0</v>
      </c>
      <c r="CG7" s="29">
        <f t="shared" si="91"/>
        <v>0</v>
      </c>
      <c r="CH7" s="29">
        <f t="shared" si="91"/>
        <v>0</v>
      </c>
      <c r="CI7" s="29">
        <f t="shared" si="91"/>
        <v>0</v>
      </c>
      <c r="CJ7" s="29">
        <f t="shared" si="91"/>
        <v>0</v>
      </c>
      <c r="CK7" s="29">
        <f t="shared" si="91"/>
        <v>0</v>
      </c>
      <c r="CL7" s="29">
        <f t="shared" si="91"/>
        <v>0</v>
      </c>
      <c r="CM7" s="29">
        <f t="shared" si="91"/>
        <v>0</v>
      </c>
      <c r="CN7" s="29">
        <f t="shared" si="91"/>
        <v>0</v>
      </c>
    </row>
    <row r="8" spans="2:92" outlineLevel="1" x14ac:dyDescent="0.3">
      <c r="B8" s="30"/>
      <c r="C8" s="32" t="s">
        <v>14</v>
      </c>
      <c r="D8" s="32"/>
      <c r="E8" s="32" t="s">
        <v>15</v>
      </c>
      <c r="F8" s="33">
        <v>1</v>
      </c>
      <c r="G8" s="34">
        <v>45938</v>
      </c>
      <c r="H8" s="34">
        <v>45938</v>
      </c>
      <c r="I8" s="31"/>
      <c r="J8" s="29">
        <f t="shared" ref="J8:Y37" si="92">IF(AND(J$5&gt;=$G8,J$5&lt;=$H8,$E8="Meilenstein"),1)+IF(AND(J$5&gt;=$G8,J$5&lt;=$H8,$E8="Ziel"),2)</f>
        <v>0</v>
      </c>
      <c r="K8" s="29">
        <f t="shared" si="92"/>
        <v>0</v>
      </c>
      <c r="L8" s="29">
        <f t="shared" si="92"/>
        <v>0</v>
      </c>
      <c r="M8" s="29">
        <f t="shared" si="92"/>
        <v>0</v>
      </c>
      <c r="N8" s="29">
        <f t="shared" si="92"/>
        <v>0</v>
      </c>
      <c r="O8" s="29">
        <f t="shared" si="92"/>
        <v>0</v>
      </c>
      <c r="P8" s="29">
        <f t="shared" si="92"/>
        <v>0</v>
      </c>
      <c r="Q8" s="29">
        <f t="shared" si="92"/>
        <v>0</v>
      </c>
      <c r="R8" s="29">
        <f t="shared" si="92"/>
        <v>0</v>
      </c>
      <c r="S8" s="29">
        <f t="shared" si="92"/>
        <v>0</v>
      </c>
      <c r="T8" s="29">
        <f t="shared" si="92"/>
        <v>0</v>
      </c>
      <c r="U8" s="29">
        <f t="shared" si="92"/>
        <v>0</v>
      </c>
      <c r="V8" s="29">
        <f t="shared" si="92"/>
        <v>0</v>
      </c>
      <c r="W8" s="29">
        <f t="shared" si="92"/>
        <v>0</v>
      </c>
      <c r="X8" s="29">
        <f t="shared" si="92"/>
        <v>0</v>
      </c>
      <c r="Y8" s="29">
        <f t="shared" si="92"/>
        <v>0</v>
      </c>
      <c r="Z8" s="29">
        <f t="shared" si="90"/>
        <v>0</v>
      </c>
      <c r="AA8" s="29">
        <f t="shared" si="90"/>
        <v>0</v>
      </c>
      <c r="AB8" s="29">
        <f t="shared" si="90"/>
        <v>0</v>
      </c>
      <c r="AC8" s="29">
        <f t="shared" si="90"/>
        <v>0</v>
      </c>
      <c r="AD8" s="29">
        <f t="shared" si="90"/>
        <v>0</v>
      </c>
      <c r="AE8" s="29">
        <f t="shared" si="90"/>
        <v>0</v>
      </c>
      <c r="AF8" s="29">
        <f t="shared" si="90"/>
        <v>0</v>
      </c>
      <c r="AG8" s="29">
        <f t="shared" si="90"/>
        <v>0</v>
      </c>
      <c r="AH8" s="29">
        <f t="shared" si="90"/>
        <v>0</v>
      </c>
      <c r="AI8" s="29">
        <f t="shared" si="90"/>
        <v>0</v>
      </c>
      <c r="AJ8" s="29">
        <f t="shared" si="90"/>
        <v>0</v>
      </c>
      <c r="AK8" s="29">
        <f t="shared" si="90"/>
        <v>0</v>
      </c>
      <c r="AL8" s="29">
        <f t="shared" si="90"/>
        <v>0</v>
      </c>
      <c r="AM8" s="29">
        <f t="shared" si="90"/>
        <v>0</v>
      </c>
      <c r="AN8" s="29">
        <f t="shared" si="90"/>
        <v>0</v>
      </c>
      <c r="AO8" s="29">
        <f t="shared" si="90"/>
        <v>0</v>
      </c>
      <c r="AP8" s="29">
        <f t="shared" si="90"/>
        <v>0</v>
      </c>
      <c r="AQ8" s="29">
        <f t="shared" si="90"/>
        <v>0</v>
      </c>
      <c r="AR8" s="29">
        <f t="shared" si="90"/>
        <v>0</v>
      </c>
      <c r="AS8" s="29">
        <f t="shared" si="90"/>
        <v>0</v>
      </c>
      <c r="AT8" s="29">
        <f t="shared" si="90"/>
        <v>0</v>
      </c>
      <c r="AU8" s="29">
        <f t="shared" si="90"/>
        <v>0</v>
      </c>
      <c r="AV8" s="29">
        <f t="shared" si="90"/>
        <v>0</v>
      </c>
      <c r="AW8" s="29">
        <f t="shared" si="90"/>
        <v>0</v>
      </c>
      <c r="AX8" s="29">
        <f t="shared" si="90"/>
        <v>0</v>
      </c>
      <c r="AY8" s="29">
        <f t="shared" si="90"/>
        <v>0</v>
      </c>
      <c r="AZ8" s="29">
        <f t="shared" si="90"/>
        <v>0</v>
      </c>
      <c r="BA8" s="29">
        <f t="shared" si="90"/>
        <v>0</v>
      </c>
      <c r="BB8" s="29">
        <f t="shared" si="90"/>
        <v>0</v>
      </c>
      <c r="BC8" s="29">
        <f t="shared" si="90"/>
        <v>0</v>
      </c>
      <c r="BD8" s="29">
        <f t="shared" si="90"/>
        <v>0</v>
      </c>
      <c r="BE8" s="29">
        <f t="shared" si="90"/>
        <v>0</v>
      </c>
      <c r="BF8" s="29">
        <f t="shared" si="90"/>
        <v>0</v>
      </c>
      <c r="BG8" s="29">
        <f t="shared" si="90"/>
        <v>0</v>
      </c>
      <c r="BH8" s="29">
        <f t="shared" si="90"/>
        <v>0</v>
      </c>
      <c r="BI8" s="29">
        <f t="shared" si="90"/>
        <v>0</v>
      </c>
      <c r="BJ8" s="29">
        <f t="shared" si="90"/>
        <v>0</v>
      </c>
      <c r="BK8" s="29">
        <f t="shared" si="90"/>
        <v>0</v>
      </c>
      <c r="BL8" s="29">
        <f t="shared" si="90"/>
        <v>0</v>
      </c>
      <c r="BM8" s="29">
        <f t="shared" si="90"/>
        <v>0</v>
      </c>
      <c r="BN8" s="29">
        <f t="shared" si="90"/>
        <v>0</v>
      </c>
      <c r="BO8" s="29">
        <f t="shared" si="90"/>
        <v>0</v>
      </c>
      <c r="BP8" s="29">
        <f t="shared" si="90"/>
        <v>0</v>
      </c>
      <c r="BQ8" s="29">
        <f t="shared" si="90"/>
        <v>0</v>
      </c>
      <c r="BR8" s="29">
        <f t="shared" si="90"/>
        <v>0</v>
      </c>
      <c r="BS8" s="29">
        <f t="shared" si="90"/>
        <v>0</v>
      </c>
      <c r="BT8" s="29">
        <f t="shared" si="90"/>
        <v>0</v>
      </c>
      <c r="BU8" s="29">
        <f t="shared" si="90"/>
        <v>0</v>
      </c>
      <c r="BV8" s="29">
        <f t="shared" si="90"/>
        <v>0</v>
      </c>
      <c r="BW8" s="29">
        <f t="shared" si="91"/>
        <v>0</v>
      </c>
      <c r="BX8" s="29">
        <f t="shared" si="91"/>
        <v>0</v>
      </c>
      <c r="BY8" s="29">
        <f t="shared" si="91"/>
        <v>0</v>
      </c>
      <c r="BZ8" s="29">
        <f t="shared" si="91"/>
        <v>0</v>
      </c>
      <c r="CA8" s="29">
        <f t="shared" si="91"/>
        <v>0</v>
      </c>
      <c r="CB8" s="29">
        <f t="shared" si="91"/>
        <v>0</v>
      </c>
      <c r="CC8" s="29">
        <f t="shared" si="91"/>
        <v>0</v>
      </c>
      <c r="CD8" s="29">
        <f t="shared" si="91"/>
        <v>0</v>
      </c>
      <c r="CE8" s="29">
        <f t="shared" si="91"/>
        <v>0</v>
      </c>
      <c r="CF8" s="29">
        <f t="shared" si="91"/>
        <v>0</v>
      </c>
      <c r="CG8" s="29">
        <f t="shared" si="91"/>
        <v>0</v>
      </c>
      <c r="CH8" s="29">
        <f t="shared" si="91"/>
        <v>0</v>
      </c>
      <c r="CI8" s="29">
        <f t="shared" si="91"/>
        <v>0</v>
      </c>
      <c r="CJ8" s="29">
        <f t="shared" si="91"/>
        <v>0</v>
      </c>
      <c r="CK8" s="29">
        <f t="shared" si="91"/>
        <v>0</v>
      </c>
      <c r="CL8" s="29">
        <f t="shared" si="91"/>
        <v>0</v>
      </c>
      <c r="CM8" s="29">
        <f t="shared" si="91"/>
        <v>0</v>
      </c>
      <c r="CN8" s="29">
        <f t="shared" si="91"/>
        <v>0</v>
      </c>
    </row>
    <row r="9" spans="2:92" ht="29" outlineLevel="1" x14ac:dyDescent="0.3">
      <c r="B9" s="30"/>
      <c r="C9" s="32" t="s">
        <v>16</v>
      </c>
      <c r="D9" s="32" t="s">
        <v>17</v>
      </c>
      <c r="E9" s="32" t="s">
        <v>15</v>
      </c>
      <c r="F9" s="33">
        <v>1</v>
      </c>
      <c r="G9" s="34">
        <v>45938</v>
      </c>
      <c r="H9" s="34">
        <v>45939</v>
      </c>
      <c r="I9" s="31"/>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row>
    <row r="10" spans="2:92" ht="29" outlineLevel="1" x14ac:dyDescent="0.3">
      <c r="B10" s="30"/>
      <c r="C10" s="32" t="s">
        <v>18</v>
      </c>
      <c r="D10" s="32" t="s">
        <v>17</v>
      </c>
      <c r="E10" s="32" t="s">
        <v>15</v>
      </c>
      <c r="F10" s="33">
        <v>1</v>
      </c>
      <c r="G10" s="34">
        <v>45939</v>
      </c>
      <c r="H10" s="34">
        <v>45939</v>
      </c>
      <c r="I10" s="31"/>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row>
    <row r="11" spans="2:92" outlineLevel="1" x14ac:dyDescent="0.3">
      <c r="B11" s="30" t="s">
        <v>19</v>
      </c>
      <c r="C11" s="32"/>
      <c r="D11" s="32"/>
      <c r="E11" s="32"/>
      <c r="F11" s="33"/>
      <c r="G11" s="34"/>
      <c r="H11" s="34"/>
      <c r="I11" s="31"/>
      <c r="J11" s="29">
        <f t="shared" si="92"/>
        <v>0</v>
      </c>
      <c r="K11" s="29">
        <f t="shared" ref="K11:BV12" si="93">IF(AND(K$5&gt;=$G11,K$5&lt;=$H11,$E11="Meilenstein"),1)+IF(AND(K$5&gt;=$G11,K$5&lt;=$H11,$E11="Ziel"),2)</f>
        <v>0</v>
      </c>
      <c r="L11" s="29">
        <f t="shared" si="93"/>
        <v>0</v>
      </c>
      <c r="M11" s="29">
        <f t="shared" si="93"/>
        <v>0</v>
      </c>
      <c r="N11" s="29">
        <f t="shared" si="93"/>
        <v>0</v>
      </c>
      <c r="O11" s="29">
        <f t="shared" si="93"/>
        <v>0</v>
      </c>
      <c r="P11" s="29">
        <f t="shared" si="93"/>
        <v>0</v>
      </c>
      <c r="Q11" s="29">
        <f t="shared" si="93"/>
        <v>0</v>
      </c>
      <c r="R11" s="29">
        <f t="shared" si="93"/>
        <v>0</v>
      </c>
      <c r="S11" s="29">
        <f t="shared" si="93"/>
        <v>0</v>
      </c>
      <c r="T11" s="29">
        <f t="shared" si="93"/>
        <v>0</v>
      </c>
      <c r="U11" s="29">
        <f t="shared" si="93"/>
        <v>0</v>
      </c>
      <c r="V11" s="29">
        <f t="shared" si="93"/>
        <v>0</v>
      </c>
      <c r="W11" s="29">
        <f t="shared" si="93"/>
        <v>0</v>
      </c>
      <c r="X11" s="29">
        <f t="shared" si="93"/>
        <v>0</v>
      </c>
      <c r="Y11" s="29">
        <f t="shared" si="93"/>
        <v>0</v>
      </c>
      <c r="Z11" s="29">
        <f t="shared" si="93"/>
        <v>0</v>
      </c>
      <c r="AA11" s="29">
        <f t="shared" si="93"/>
        <v>0</v>
      </c>
      <c r="AB11" s="29">
        <f t="shared" si="93"/>
        <v>0</v>
      </c>
      <c r="AC11" s="29">
        <f t="shared" si="93"/>
        <v>0</v>
      </c>
      <c r="AD11" s="29">
        <f t="shared" si="93"/>
        <v>0</v>
      </c>
      <c r="AE11" s="29">
        <f t="shared" si="93"/>
        <v>0</v>
      </c>
      <c r="AF11" s="29">
        <f t="shared" si="93"/>
        <v>0</v>
      </c>
      <c r="AG11" s="29">
        <f t="shared" si="93"/>
        <v>0</v>
      </c>
      <c r="AH11" s="29">
        <f t="shared" si="93"/>
        <v>0</v>
      </c>
      <c r="AI11" s="29">
        <f t="shared" si="93"/>
        <v>0</v>
      </c>
      <c r="AJ11" s="29">
        <f t="shared" si="93"/>
        <v>0</v>
      </c>
      <c r="AK11" s="29">
        <f t="shared" si="93"/>
        <v>0</v>
      </c>
      <c r="AL11" s="29">
        <f t="shared" si="93"/>
        <v>0</v>
      </c>
      <c r="AM11" s="29">
        <f t="shared" si="93"/>
        <v>0</v>
      </c>
      <c r="AN11" s="29">
        <f t="shared" si="93"/>
        <v>0</v>
      </c>
      <c r="AO11" s="29">
        <f t="shared" si="93"/>
        <v>0</v>
      </c>
      <c r="AP11" s="29">
        <f t="shared" si="93"/>
        <v>0</v>
      </c>
      <c r="AQ11" s="29">
        <f t="shared" si="93"/>
        <v>0</v>
      </c>
      <c r="AR11" s="29">
        <f t="shared" si="93"/>
        <v>0</v>
      </c>
      <c r="AS11" s="29">
        <f t="shared" si="93"/>
        <v>0</v>
      </c>
      <c r="AT11" s="29">
        <f t="shared" si="93"/>
        <v>0</v>
      </c>
      <c r="AU11" s="29">
        <f t="shared" si="93"/>
        <v>0</v>
      </c>
      <c r="AV11" s="29">
        <f t="shared" si="93"/>
        <v>0</v>
      </c>
      <c r="AW11" s="29">
        <f t="shared" si="93"/>
        <v>0</v>
      </c>
      <c r="AX11" s="29">
        <f t="shared" si="93"/>
        <v>0</v>
      </c>
      <c r="AY11" s="29">
        <f t="shared" si="93"/>
        <v>0</v>
      </c>
      <c r="AZ11" s="29">
        <f t="shared" si="93"/>
        <v>0</v>
      </c>
      <c r="BA11" s="29">
        <f t="shared" si="93"/>
        <v>0</v>
      </c>
      <c r="BB11" s="29">
        <f t="shared" si="93"/>
        <v>0</v>
      </c>
      <c r="BC11" s="29">
        <f t="shared" si="93"/>
        <v>0</v>
      </c>
      <c r="BD11" s="29">
        <f t="shared" si="93"/>
        <v>0</v>
      </c>
      <c r="BE11" s="29">
        <f t="shared" si="93"/>
        <v>0</v>
      </c>
      <c r="BF11" s="29">
        <f t="shared" si="93"/>
        <v>0</v>
      </c>
      <c r="BG11" s="29">
        <f t="shared" si="93"/>
        <v>0</v>
      </c>
      <c r="BH11" s="29">
        <f t="shared" si="93"/>
        <v>0</v>
      </c>
      <c r="BI11" s="29">
        <f t="shared" si="93"/>
        <v>0</v>
      </c>
      <c r="BJ11" s="29">
        <f t="shared" si="93"/>
        <v>0</v>
      </c>
      <c r="BK11" s="29">
        <f t="shared" si="93"/>
        <v>0</v>
      </c>
      <c r="BL11" s="29">
        <f t="shared" si="93"/>
        <v>0</v>
      </c>
      <c r="BM11" s="29">
        <f t="shared" si="93"/>
        <v>0</v>
      </c>
      <c r="BN11" s="29">
        <f t="shared" si="93"/>
        <v>0</v>
      </c>
      <c r="BO11" s="29">
        <f t="shared" si="93"/>
        <v>0</v>
      </c>
      <c r="BP11" s="29">
        <f t="shared" si="93"/>
        <v>0</v>
      </c>
      <c r="BQ11" s="29">
        <f t="shared" si="93"/>
        <v>0</v>
      </c>
      <c r="BR11" s="29">
        <f t="shared" si="93"/>
        <v>0</v>
      </c>
      <c r="BS11" s="29">
        <f t="shared" si="93"/>
        <v>0</v>
      </c>
      <c r="BT11" s="29">
        <f t="shared" si="93"/>
        <v>0</v>
      </c>
      <c r="BU11" s="29">
        <f t="shared" si="93"/>
        <v>0</v>
      </c>
      <c r="BV11" s="29">
        <f t="shared" si="93"/>
        <v>0</v>
      </c>
      <c r="BW11" s="29">
        <f t="shared" si="91"/>
        <v>0</v>
      </c>
      <c r="BX11" s="29">
        <f t="shared" si="91"/>
        <v>0</v>
      </c>
      <c r="BY11" s="29">
        <f t="shared" si="91"/>
        <v>0</v>
      </c>
      <c r="BZ11" s="29">
        <f t="shared" si="91"/>
        <v>0</v>
      </c>
      <c r="CA11" s="29">
        <f t="shared" si="91"/>
        <v>0</v>
      </c>
      <c r="CB11" s="29">
        <f t="shared" si="91"/>
        <v>0</v>
      </c>
      <c r="CC11" s="29">
        <f t="shared" si="91"/>
        <v>0</v>
      </c>
      <c r="CD11" s="29">
        <f t="shared" si="91"/>
        <v>0</v>
      </c>
      <c r="CE11" s="29">
        <f t="shared" si="91"/>
        <v>0</v>
      </c>
      <c r="CF11" s="29">
        <f t="shared" si="91"/>
        <v>0</v>
      </c>
      <c r="CG11" s="29">
        <f t="shared" si="91"/>
        <v>0</v>
      </c>
      <c r="CH11" s="29">
        <f t="shared" si="91"/>
        <v>0</v>
      </c>
      <c r="CI11" s="29">
        <f t="shared" si="91"/>
        <v>0</v>
      </c>
      <c r="CJ11" s="29">
        <f t="shared" si="91"/>
        <v>0</v>
      </c>
      <c r="CK11" s="29">
        <f t="shared" si="91"/>
        <v>0</v>
      </c>
      <c r="CL11" s="29">
        <f t="shared" si="91"/>
        <v>0</v>
      </c>
      <c r="CM11" s="29">
        <f t="shared" si="91"/>
        <v>0</v>
      </c>
      <c r="CN11" s="29">
        <f t="shared" si="91"/>
        <v>0</v>
      </c>
    </row>
    <row r="12" spans="2:92" ht="29" outlineLevel="1" x14ac:dyDescent="0.3">
      <c r="B12" s="30"/>
      <c r="C12" s="32" t="s">
        <v>20</v>
      </c>
      <c r="D12" s="32" t="s">
        <v>17</v>
      </c>
      <c r="E12" s="32" t="s">
        <v>15</v>
      </c>
      <c r="F12" s="33">
        <v>1</v>
      </c>
      <c r="G12" s="34">
        <v>45943</v>
      </c>
      <c r="H12" s="34">
        <v>45943</v>
      </c>
      <c r="I12" s="31"/>
      <c r="J12" s="29">
        <f t="shared" si="92"/>
        <v>0</v>
      </c>
      <c r="K12" s="29">
        <f t="shared" si="93"/>
        <v>0</v>
      </c>
      <c r="L12" s="29">
        <f t="shared" si="93"/>
        <v>0</v>
      </c>
      <c r="M12" s="29">
        <f t="shared" si="93"/>
        <v>0</v>
      </c>
      <c r="N12" s="29">
        <f t="shared" si="93"/>
        <v>0</v>
      </c>
      <c r="O12" s="29">
        <f t="shared" si="93"/>
        <v>0</v>
      </c>
      <c r="P12" s="29">
        <f t="shared" si="93"/>
        <v>0</v>
      </c>
      <c r="Q12" s="29">
        <f t="shared" si="93"/>
        <v>0</v>
      </c>
      <c r="R12" s="29">
        <f t="shared" si="93"/>
        <v>0</v>
      </c>
      <c r="S12" s="29">
        <f t="shared" si="93"/>
        <v>0</v>
      </c>
      <c r="T12" s="29">
        <f t="shared" si="93"/>
        <v>0</v>
      </c>
      <c r="U12" s="29">
        <f t="shared" si="93"/>
        <v>0</v>
      </c>
      <c r="V12" s="29">
        <f t="shared" si="93"/>
        <v>0</v>
      </c>
      <c r="W12" s="29">
        <f t="shared" si="93"/>
        <v>0</v>
      </c>
      <c r="X12" s="29">
        <f t="shared" si="93"/>
        <v>0</v>
      </c>
      <c r="Y12" s="29">
        <f t="shared" si="93"/>
        <v>0</v>
      </c>
      <c r="Z12" s="29">
        <f t="shared" si="93"/>
        <v>0</v>
      </c>
      <c r="AA12" s="29">
        <f t="shared" si="93"/>
        <v>0</v>
      </c>
      <c r="AB12" s="29">
        <f t="shared" si="93"/>
        <v>0</v>
      </c>
      <c r="AC12" s="29">
        <f t="shared" si="93"/>
        <v>0</v>
      </c>
      <c r="AD12" s="29">
        <f t="shared" si="93"/>
        <v>0</v>
      </c>
      <c r="AE12" s="29">
        <f t="shared" si="93"/>
        <v>0</v>
      </c>
      <c r="AF12" s="29">
        <f t="shared" si="93"/>
        <v>0</v>
      </c>
      <c r="AG12" s="29">
        <f t="shared" si="93"/>
        <v>0</v>
      </c>
      <c r="AH12" s="29">
        <f t="shared" si="93"/>
        <v>0</v>
      </c>
      <c r="AI12" s="29">
        <f t="shared" si="93"/>
        <v>0</v>
      </c>
      <c r="AJ12" s="29">
        <f t="shared" si="93"/>
        <v>0</v>
      </c>
      <c r="AK12" s="29">
        <f t="shared" si="93"/>
        <v>0</v>
      </c>
      <c r="AL12" s="29">
        <f t="shared" si="93"/>
        <v>0</v>
      </c>
      <c r="AM12" s="29">
        <f t="shared" si="93"/>
        <v>0</v>
      </c>
      <c r="AN12" s="29">
        <f t="shared" si="93"/>
        <v>0</v>
      </c>
      <c r="AO12" s="29">
        <f t="shared" si="93"/>
        <v>0</v>
      </c>
      <c r="AP12" s="29">
        <f t="shared" si="93"/>
        <v>0</v>
      </c>
      <c r="AQ12" s="29">
        <f t="shared" si="93"/>
        <v>0</v>
      </c>
      <c r="AR12" s="29">
        <f t="shared" si="93"/>
        <v>0</v>
      </c>
      <c r="AS12" s="29">
        <f t="shared" si="93"/>
        <v>0</v>
      </c>
      <c r="AT12" s="29">
        <f t="shared" si="93"/>
        <v>0</v>
      </c>
      <c r="AU12" s="29">
        <f t="shared" si="93"/>
        <v>0</v>
      </c>
      <c r="AV12" s="29">
        <f t="shared" si="93"/>
        <v>0</v>
      </c>
      <c r="AW12" s="29">
        <f t="shared" si="93"/>
        <v>0</v>
      </c>
      <c r="AX12" s="29">
        <f t="shared" si="93"/>
        <v>0</v>
      </c>
      <c r="AY12" s="29">
        <f t="shared" si="93"/>
        <v>0</v>
      </c>
      <c r="AZ12" s="29">
        <f t="shared" si="93"/>
        <v>0</v>
      </c>
      <c r="BA12" s="29">
        <f t="shared" si="93"/>
        <v>0</v>
      </c>
      <c r="BB12" s="29">
        <f t="shared" si="93"/>
        <v>0</v>
      </c>
      <c r="BC12" s="29">
        <f t="shared" si="93"/>
        <v>0</v>
      </c>
      <c r="BD12" s="29">
        <f t="shared" si="93"/>
        <v>0</v>
      </c>
      <c r="BE12" s="29">
        <f t="shared" si="93"/>
        <v>0</v>
      </c>
      <c r="BF12" s="29">
        <f t="shared" si="93"/>
        <v>0</v>
      </c>
      <c r="BG12" s="29">
        <f t="shared" si="93"/>
        <v>0</v>
      </c>
      <c r="BH12" s="29">
        <f t="shared" si="93"/>
        <v>0</v>
      </c>
      <c r="BI12" s="29">
        <f t="shared" si="93"/>
        <v>0</v>
      </c>
      <c r="BJ12" s="29">
        <f t="shared" si="93"/>
        <v>0</v>
      </c>
      <c r="BK12" s="29">
        <f t="shared" si="93"/>
        <v>0</v>
      </c>
      <c r="BL12" s="29">
        <f t="shared" si="93"/>
        <v>0</v>
      </c>
      <c r="BM12" s="29">
        <f t="shared" si="93"/>
        <v>0</v>
      </c>
      <c r="BN12" s="29">
        <f t="shared" si="93"/>
        <v>0</v>
      </c>
      <c r="BO12" s="29">
        <f t="shared" si="93"/>
        <v>0</v>
      </c>
      <c r="BP12" s="29">
        <f t="shared" si="93"/>
        <v>0</v>
      </c>
      <c r="BQ12" s="29">
        <f t="shared" si="93"/>
        <v>0</v>
      </c>
      <c r="BR12" s="29">
        <f t="shared" si="93"/>
        <v>0</v>
      </c>
      <c r="BS12" s="29">
        <f t="shared" si="93"/>
        <v>0</v>
      </c>
      <c r="BT12" s="29">
        <f t="shared" si="93"/>
        <v>0</v>
      </c>
      <c r="BU12" s="29">
        <f t="shared" si="93"/>
        <v>0</v>
      </c>
      <c r="BV12" s="29">
        <f t="shared" si="93"/>
        <v>0</v>
      </c>
      <c r="BW12" s="29">
        <f t="shared" ref="BW12:CN12" si="94">IF(AND(BW$5&gt;=$G12,BW$5&lt;=$H12,$E12="Meilenstein"),1)+IF(AND(BW$5&gt;=$G12,BW$5&lt;=$H12,$E12="Ziel"),2)</f>
        <v>0</v>
      </c>
      <c r="BX12" s="29">
        <f t="shared" si="94"/>
        <v>0</v>
      </c>
      <c r="BY12" s="29">
        <f t="shared" si="94"/>
        <v>0</v>
      </c>
      <c r="BZ12" s="29">
        <f t="shared" si="94"/>
        <v>0</v>
      </c>
      <c r="CA12" s="29">
        <f t="shared" si="94"/>
        <v>0</v>
      </c>
      <c r="CB12" s="29">
        <f t="shared" si="94"/>
        <v>0</v>
      </c>
      <c r="CC12" s="29">
        <f t="shared" si="94"/>
        <v>0</v>
      </c>
      <c r="CD12" s="29">
        <f t="shared" si="94"/>
        <v>0</v>
      </c>
      <c r="CE12" s="29">
        <f t="shared" si="94"/>
        <v>0</v>
      </c>
      <c r="CF12" s="29">
        <f t="shared" si="94"/>
        <v>0</v>
      </c>
      <c r="CG12" s="29">
        <f t="shared" si="94"/>
        <v>0</v>
      </c>
      <c r="CH12" s="29">
        <f t="shared" si="94"/>
        <v>0</v>
      </c>
      <c r="CI12" s="29">
        <f t="shared" si="94"/>
        <v>0</v>
      </c>
      <c r="CJ12" s="29">
        <f t="shared" si="94"/>
        <v>0</v>
      </c>
      <c r="CK12" s="29">
        <f t="shared" si="94"/>
        <v>0</v>
      </c>
      <c r="CL12" s="29">
        <f t="shared" si="94"/>
        <v>0</v>
      </c>
      <c r="CM12" s="29">
        <f t="shared" si="94"/>
        <v>0</v>
      </c>
      <c r="CN12" s="29">
        <f t="shared" si="94"/>
        <v>0</v>
      </c>
    </row>
    <row r="13" spans="2:92" ht="29" outlineLevel="1" x14ac:dyDescent="0.3">
      <c r="B13" s="30"/>
      <c r="C13" s="32" t="s">
        <v>21</v>
      </c>
      <c r="D13" s="32" t="s">
        <v>17</v>
      </c>
      <c r="E13" s="32" t="s">
        <v>15</v>
      </c>
      <c r="F13" s="33">
        <v>1</v>
      </c>
      <c r="G13" s="34">
        <v>45945</v>
      </c>
      <c r="H13" s="34">
        <v>45945</v>
      </c>
      <c r="I13" s="31"/>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row>
    <row r="14" spans="2:92" outlineLevel="1" x14ac:dyDescent="0.3">
      <c r="B14" s="30" t="s">
        <v>22</v>
      </c>
      <c r="C14" s="32"/>
      <c r="D14" s="32"/>
      <c r="E14" s="32"/>
      <c r="F14" s="33"/>
      <c r="G14" s="34"/>
      <c r="H14" s="34"/>
      <c r="I14" s="31"/>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row>
    <row r="15" spans="2:92" ht="29" outlineLevel="1" x14ac:dyDescent="0.3">
      <c r="B15" s="30"/>
      <c r="C15" s="32" t="s">
        <v>23</v>
      </c>
      <c r="D15" s="32" t="s">
        <v>17</v>
      </c>
      <c r="E15" s="32" t="s">
        <v>15</v>
      </c>
      <c r="F15" s="33">
        <v>1</v>
      </c>
      <c r="G15" s="34">
        <v>45950</v>
      </c>
      <c r="H15" s="34">
        <v>45951</v>
      </c>
      <c r="I15" s="31"/>
      <c r="J15" s="29">
        <f t="shared" ref="J15:AO15" si="95">IF(AND(J$5&gt;=$G15,J$5&lt;=$H15,$E15="Meilenstein"),1)+IF(AND(J$5&gt;=$G15,J$5&lt;=$H15,$E15="Ziel"),2)</f>
        <v>0</v>
      </c>
      <c r="K15" s="29">
        <f t="shared" si="95"/>
        <v>0</v>
      </c>
      <c r="L15" s="29">
        <f t="shared" si="95"/>
        <v>0</v>
      </c>
      <c r="M15" s="29">
        <f t="shared" si="95"/>
        <v>0</v>
      </c>
      <c r="N15" s="29">
        <f t="shared" si="95"/>
        <v>0</v>
      </c>
      <c r="O15" s="29">
        <f t="shared" si="95"/>
        <v>0</v>
      </c>
      <c r="P15" s="29">
        <f t="shared" si="95"/>
        <v>0</v>
      </c>
      <c r="Q15" s="29">
        <f t="shared" si="95"/>
        <v>0</v>
      </c>
      <c r="R15" s="29">
        <f t="shared" si="95"/>
        <v>0</v>
      </c>
      <c r="S15" s="29">
        <f t="shared" si="95"/>
        <v>0</v>
      </c>
      <c r="T15" s="29">
        <f t="shared" si="95"/>
        <v>0</v>
      </c>
      <c r="U15" s="29">
        <f t="shared" si="95"/>
        <v>0</v>
      </c>
      <c r="V15" s="29">
        <f t="shared" si="95"/>
        <v>0</v>
      </c>
      <c r="W15" s="29">
        <f t="shared" si="95"/>
        <v>0</v>
      </c>
      <c r="X15" s="29">
        <f t="shared" si="95"/>
        <v>0</v>
      </c>
      <c r="Y15" s="29">
        <f t="shared" si="95"/>
        <v>0</v>
      </c>
      <c r="Z15" s="29">
        <f t="shared" si="95"/>
        <v>0</v>
      </c>
      <c r="AA15" s="29">
        <f t="shared" si="95"/>
        <v>0</v>
      </c>
      <c r="AB15" s="29">
        <f t="shared" si="95"/>
        <v>0</v>
      </c>
      <c r="AC15" s="29">
        <f t="shared" si="95"/>
        <v>0</v>
      </c>
      <c r="AD15" s="29">
        <f t="shared" si="95"/>
        <v>0</v>
      </c>
      <c r="AE15" s="29">
        <f t="shared" si="95"/>
        <v>0</v>
      </c>
      <c r="AF15" s="29">
        <f t="shared" si="95"/>
        <v>0</v>
      </c>
      <c r="AG15" s="29">
        <f t="shared" si="95"/>
        <v>0</v>
      </c>
      <c r="AH15" s="29">
        <f t="shared" si="95"/>
        <v>0</v>
      </c>
      <c r="AI15" s="29">
        <f t="shared" si="95"/>
        <v>0</v>
      </c>
      <c r="AJ15" s="29">
        <f t="shared" si="95"/>
        <v>0</v>
      </c>
      <c r="AK15" s="29">
        <f t="shared" si="95"/>
        <v>0</v>
      </c>
      <c r="AL15" s="29">
        <f t="shared" si="95"/>
        <v>0</v>
      </c>
      <c r="AM15" s="29">
        <f t="shared" si="95"/>
        <v>0</v>
      </c>
      <c r="AN15" s="29">
        <f t="shared" si="95"/>
        <v>0</v>
      </c>
      <c r="AO15" s="29">
        <f t="shared" si="95"/>
        <v>0</v>
      </c>
      <c r="AP15" s="29">
        <f t="shared" ref="AP15:BU15" si="96">IF(AND(AP$5&gt;=$G15,AP$5&lt;=$H15,$E15="Meilenstein"),1)+IF(AND(AP$5&gt;=$G15,AP$5&lt;=$H15,$E15="Ziel"),2)</f>
        <v>0</v>
      </c>
      <c r="AQ15" s="29">
        <f t="shared" si="96"/>
        <v>0</v>
      </c>
      <c r="AR15" s="29">
        <f t="shared" si="96"/>
        <v>0</v>
      </c>
      <c r="AS15" s="29">
        <f t="shared" si="96"/>
        <v>0</v>
      </c>
      <c r="AT15" s="29">
        <f t="shared" si="96"/>
        <v>0</v>
      </c>
      <c r="AU15" s="29">
        <f t="shared" si="96"/>
        <v>0</v>
      </c>
      <c r="AV15" s="29">
        <f t="shared" si="96"/>
        <v>0</v>
      </c>
      <c r="AW15" s="29">
        <f t="shared" si="96"/>
        <v>0</v>
      </c>
      <c r="AX15" s="29">
        <f t="shared" si="96"/>
        <v>0</v>
      </c>
      <c r="AY15" s="29">
        <f t="shared" si="96"/>
        <v>0</v>
      </c>
      <c r="AZ15" s="29">
        <f t="shared" si="96"/>
        <v>0</v>
      </c>
      <c r="BA15" s="29">
        <f t="shared" si="96"/>
        <v>0</v>
      </c>
      <c r="BB15" s="29">
        <f t="shared" si="96"/>
        <v>0</v>
      </c>
      <c r="BC15" s="29">
        <f t="shared" si="96"/>
        <v>0</v>
      </c>
      <c r="BD15" s="29">
        <f t="shared" si="96"/>
        <v>0</v>
      </c>
      <c r="BE15" s="29">
        <f t="shared" si="96"/>
        <v>0</v>
      </c>
      <c r="BF15" s="29">
        <f t="shared" si="96"/>
        <v>0</v>
      </c>
      <c r="BG15" s="29">
        <f t="shared" si="96"/>
        <v>0</v>
      </c>
      <c r="BH15" s="29">
        <f t="shared" si="96"/>
        <v>0</v>
      </c>
      <c r="BI15" s="29">
        <f t="shared" si="96"/>
        <v>0</v>
      </c>
      <c r="BJ15" s="29">
        <f t="shared" si="96"/>
        <v>0</v>
      </c>
      <c r="BK15" s="29">
        <f t="shared" si="96"/>
        <v>0</v>
      </c>
      <c r="BL15" s="29">
        <f t="shared" si="96"/>
        <v>0</v>
      </c>
      <c r="BM15" s="29">
        <f t="shared" si="96"/>
        <v>0</v>
      </c>
      <c r="BN15" s="29">
        <f t="shared" si="96"/>
        <v>0</v>
      </c>
      <c r="BO15" s="29">
        <f t="shared" si="96"/>
        <v>0</v>
      </c>
      <c r="BP15" s="29">
        <f t="shared" si="96"/>
        <v>0</v>
      </c>
      <c r="BQ15" s="29">
        <f t="shared" si="96"/>
        <v>0</v>
      </c>
      <c r="BR15" s="29">
        <f t="shared" si="96"/>
        <v>0</v>
      </c>
      <c r="BS15" s="29">
        <f t="shared" si="96"/>
        <v>0</v>
      </c>
      <c r="BT15" s="29">
        <f t="shared" si="96"/>
        <v>0</v>
      </c>
      <c r="BU15" s="29">
        <f t="shared" si="96"/>
        <v>0</v>
      </c>
      <c r="BV15" s="29">
        <f t="shared" ref="BV15:CN15" si="97">IF(AND(BV$5&gt;=$G15,BV$5&lt;=$H15,$E15="Meilenstein"),1)+IF(AND(BV$5&gt;=$G15,BV$5&lt;=$H15,$E15="Ziel"),2)</f>
        <v>0</v>
      </c>
      <c r="BW15" s="29">
        <f t="shared" si="97"/>
        <v>0</v>
      </c>
      <c r="BX15" s="29">
        <f t="shared" si="97"/>
        <v>0</v>
      </c>
      <c r="BY15" s="29">
        <f t="shared" si="97"/>
        <v>0</v>
      </c>
      <c r="BZ15" s="29">
        <f t="shared" si="97"/>
        <v>0</v>
      </c>
      <c r="CA15" s="29">
        <f t="shared" si="97"/>
        <v>0</v>
      </c>
      <c r="CB15" s="29">
        <f t="shared" si="97"/>
        <v>0</v>
      </c>
      <c r="CC15" s="29">
        <f t="shared" si="97"/>
        <v>0</v>
      </c>
      <c r="CD15" s="29">
        <f t="shared" si="97"/>
        <v>0</v>
      </c>
      <c r="CE15" s="29">
        <f t="shared" si="97"/>
        <v>0</v>
      </c>
      <c r="CF15" s="29">
        <f t="shared" si="97"/>
        <v>0</v>
      </c>
      <c r="CG15" s="29">
        <f t="shared" si="97"/>
        <v>0</v>
      </c>
      <c r="CH15" s="29">
        <f t="shared" si="97"/>
        <v>0</v>
      </c>
      <c r="CI15" s="29">
        <f t="shared" si="97"/>
        <v>0</v>
      </c>
      <c r="CJ15" s="29">
        <f t="shared" si="97"/>
        <v>0</v>
      </c>
      <c r="CK15" s="29">
        <f t="shared" si="97"/>
        <v>0</v>
      </c>
      <c r="CL15" s="29">
        <f t="shared" si="97"/>
        <v>0</v>
      </c>
      <c r="CM15" s="29">
        <f t="shared" si="97"/>
        <v>0</v>
      </c>
      <c r="CN15" s="29">
        <f t="shared" si="97"/>
        <v>0</v>
      </c>
    </row>
    <row r="16" spans="2:92" ht="29" x14ac:dyDescent="0.3">
      <c r="B16" s="30"/>
      <c r="C16" s="32" t="s">
        <v>24</v>
      </c>
      <c r="D16" s="32" t="s">
        <v>17</v>
      </c>
      <c r="E16" s="32" t="s">
        <v>15</v>
      </c>
      <c r="F16" s="33">
        <v>1</v>
      </c>
      <c r="G16" s="34">
        <v>45951</v>
      </c>
      <c r="H16" s="34">
        <v>45951</v>
      </c>
      <c r="I16" s="31"/>
      <c r="J16" s="29">
        <f t="shared" si="92"/>
        <v>0</v>
      </c>
      <c r="K16" s="29">
        <f t="shared" ref="K16:BV18" si="98">IF(AND(K$5&gt;=$G16,K$5&lt;=$H16,$E16="Meilenstein"),1)+IF(AND(K$5&gt;=$G16,K$5&lt;=$H16,$E16="Ziel"),2)</f>
        <v>0</v>
      </c>
      <c r="L16" s="29">
        <f t="shared" si="98"/>
        <v>0</v>
      </c>
      <c r="M16" s="29">
        <f t="shared" si="98"/>
        <v>0</v>
      </c>
      <c r="N16" s="29">
        <f t="shared" si="98"/>
        <v>0</v>
      </c>
      <c r="O16" s="29">
        <f t="shared" si="98"/>
        <v>0</v>
      </c>
      <c r="P16" s="29">
        <f t="shared" si="98"/>
        <v>0</v>
      </c>
      <c r="Q16" s="29">
        <f t="shared" si="98"/>
        <v>0</v>
      </c>
      <c r="R16" s="29">
        <f t="shared" si="98"/>
        <v>0</v>
      </c>
      <c r="S16" s="29">
        <f t="shared" si="98"/>
        <v>0</v>
      </c>
      <c r="T16" s="29">
        <f t="shared" si="98"/>
        <v>0</v>
      </c>
      <c r="U16" s="29">
        <f t="shared" si="98"/>
        <v>0</v>
      </c>
      <c r="V16" s="29">
        <f t="shared" si="98"/>
        <v>0</v>
      </c>
      <c r="W16" s="29">
        <f t="shared" si="98"/>
        <v>0</v>
      </c>
      <c r="X16" s="29">
        <f t="shared" si="98"/>
        <v>0</v>
      </c>
      <c r="Y16" s="29">
        <f t="shared" si="98"/>
        <v>0</v>
      </c>
      <c r="Z16" s="29">
        <f t="shared" si="98"/>
        <v>0</v>
      </c>
      <c r="AA16" s="29">
        <f t="shared" si="98"/>
        <v>0</v>
      </c>
      <c r="AB16" s="29">
        <f t="shared" si="98"/>
        <v>0</v>
      </c>
      <c r="AC16" s="29">
        <f t="shared" si="98"/>
        <v>0</v>
      </c>
      <c r="AD16" s="29">
        <f t="shared" si="98"/>
        <v>0</v>
      </c>
      <c r="AE16" s="29">
        <f t="shared" si="98"/>
        <v>0</v>
      </c>
      <c r="AF16" s="29">
        <f t="shared" si="98"/>
        <v>0</v>
      </c>
      <c r="AG16" s="29">
        <f t="shared" si="98"/>
        <v>0</v>
      </c>
      <c r="AH16" s="29">
        <f t="shared" si="98"/>
        <v>0</v>
      </c>
      <c r="AI16" s="29">
        <f t="shared" si="98"/>
        <v>0</v>
      </c>
      <c r="AJ16" s="29">
        <f t="shared" si="98"/>
        <v>0</v>
      </c>
      <c r="AK16" s="29">
        <f t="shared" si="98"/>
        <v>0</v>
      </c>
      <c r="AL16" s="29">
        <f t="shared" si="98"/>
        <v>0</v>
      </c>
      <c r="AM16" s="29">
        <f t="shared" si="98"/>
        <v>0</v>
      </c>
      <c r="AN16" s="29">
        <f t="shared" si="98"/>
        <v>0</v>
      </c>
      <c r="AO16" s="29">
        <f t="shared" si="98"/>
        <v>0</v>
      </c>
      <c r="AP16" s="29">
        <f t="shared" si="98"/>
        <v>0</v>
      </c>
      <c r="AQ16" s="29">
        <f t="shared" si="98"/>
        <v>0</v>
      </c>
      <c r="AR16" s="29">
        <f t="shared" si="98"/>
        <v>0</v>
      </c>
      <c r="AS16" s="29">
        <f t="shared" si="98"/>
        <v>0</v>
      </c>
      <c r="AT16" s="29">
        <f t="shared" si="98"/>
        <v>0</v>
      </c>
      <c r="AU16" s="29">
        <f t="shared" si="98"/>
        <v>0</v>
      </c>
      <c r="AV16" s="29">
        <f t="shared" si="98"/>
        <v>0</v>
      </c>
      <c r="AW16" s="29">
        <f t="shared" si="98"/>
        <v>0</v>
      </c>
      <c r="AX16" s="29">
        <f t="shared" si="98"/>
        <v>0</v>
      </c>
      <c r="AY16" s="29">
        <f t="shared" si="98"/>
        <v>0</v>
      </c>
      <c r="AZ16" s="29">
        <f t="shared" si="98"/>
        <v>0</v>
      </c>
      <c r="BA16" s="29">
        <f t="shared" si="98"/>
        <v>0</v>
      </c>
      <c r="BB16" s="29">
        <f t="shared" si="98"/>
        <v>0</v>
      </c>
      <c r="BC16" s="29">
        <f t="shared" si="98"/>
        <v>0</v>
      </c>
      <c r="BD16" s="29">
        <f t="shared" si="98"/>
        <v>0</v>
      </c>
      <c r="BE16" s="29">
        <f t="shared" si="98"/>
        <v>0</v>
      </c>
      <c r="BF16" s="29">
        <f t="shared" si="98"/>
        <v>0</v>
      </c>
      <c r="BG16" s="29">
        <f t="shared" si="98"/>
        <v>0</v>
      </c>
      <c r="BH16" s="29">
        <f t="shared" si="98"/>
        <v>0</v>
      </c>
      <c r="BI16" s="29">
        <f t="shared" si="98"/>
        <v>0</v>
      </c>
      <c r="BJ16" s="29">
        <f t="shared" si="98"/>
        <v>0</v>
      </c>
      <c r="BK16" s="29">
        <f t="shared" si="98"/>
        <v>0</v>
      </c>
      <c r="BL16" s="29">
        <f t="shared" si="98"/>
        <v>0</v>
      </c>
      <c r="BM16" s="29">
        <f t="shared" si="98"/>
        <v>0</v>
      </c>
      <c r="BN16" s="29">
        <f t="shared" si="98"/>
        <v>0</v>
      </c>
      <c r="BO16" s="29">
        <f t="shared" si="98"/>
        <v>0</v>
      </c>
      <c r="BP16" s="29">
        <f t="shared" si="98"/>
        <v>0</v>
      </c>
      <c r="BQ16" s="29">
        <f t="shared" si="98"/>
        <v>0</v>
      </c>
      <c r="BR16" s="29">
        <f t="shared" si="98"/>
        <v>0</v>
      </c>
      <c r="BS16" s="29">
        <f t="shared" si="98"/>
        <v>0</v>
      </c>
      <c r="BT16" s="29">
        <f t="shared" si="98"/>
        <v>0</v>
      </c>
      <c r="BU16" s="29">
        <f t="shared" si="98"/>
        <v>0</v>
      </c>
      <c r="BV16" s="29">
        <f t="shared" si="98"/>
        <v>0</v>
      </c>
      <c r="BW16" s="29">
        <f t="shared" ref="BW16:CN18" si="99">IF(AND(BW$5&gt;=$G16,BW$5&lt;=$H16,$E16="Meilenstein"),1)+IF(AND(BW$5&gt;=$G16,BW$5&lt;=$H16,$E16="Ziel"),2)</f>
        <v>0</v>
      </c>
      <c r="BX16" s="29">
        <f t="shared" si="99"/>
        <v>0</v>
      </c>
      <c r="BY16" s="29">
        <f t="shared" si="99"/>
        <v>0</v>
      </c>
      <c r="BZ16" s="29">
        <f t="shared" si="99"/>
        <v>0</v>
      </c>
      <c r="CA16" s="29">
        <f t="shared" si="99"/>
        <v>0</v>
      </c>
      <c r="CB16" s="29">
        <f t="shared" si="99"/>
        <v>0</v>
      </c>
      <c r="CC16" s="29">
        <f t="shared" si="99"/>
        <v>0</v>
      </c>
      <c r="CD16" s="29">
        <f t="shared" si="99"/>
        <v>0</v>
      </c>
      <c r="CE16" s="29">
        <f t="shared" si="99"/>
        <v>0</v>
      </c>
      <c r="CF16" s="29">
        <f t="shared" si="99"/>
        <v>0</v>
      </c>
      <c r="CG16" s="29">
        <f t="shared" si="99"/>
        <v>0</v>
      </c>
      <c r="CH16" s="29">
        <f t="shared" si="99"/>
        <v>0</v>
      </c>
      <c r="CI16" s="29">
        <f t="shared" si="99"/>
        <v>0</v>
      </c>
      <c r="CJ16" s="29">
        <f t="shared" si="99"/>
        <v>0</v>
      </c>
      <c r="CK16" s="29">
        <f t="shared" si="99"/>
        <v>0</v>
      </c>
      <c r="CL16" s="29">
        <f t="shared" si="99"/>
        <v>0</v>
      </c>
      <c r="CM16" s="29">
        <f t="shared" si="99"/>
        <v>0</v>
      </c>
      <c r="CN16" s="29">
        <f t="shared" si="99"/>
        <v>0</v>
      </c>
    </row>
    <row r="17" spans="2:92" ht="29" outlineLevel="1" x14ac:dyDescent="0.3">
      <c r="B17" s="30"/>
      <c r="C17" s="32" t="s">
        <v>25</v>
      </c>
      <c r="D17" s="32" t="s">
        <v>17</v>
      </c>
      <c r="E17" s="32" t="s">
        <v>15</v>
      </c>
      <c r="F17" s="33">
        <v>1</v>
      </c>
      <c r="G17" s="34">
        <v>45957</v>
      </c>
      <c r="H17" s="34">
        <v>45968</v>
      </c>
      <c r="I17" s="31"/>
      <c r="J17" s="29">
        <f t="shared" ref="J17:AO17" si="100">IF(AND(J$5&gt;=$G17,J$5&lt;=$H17,$E17="Meilenstein"),1)+IF(AND(J$5&gt;=$G17,J$5&lt;=$H17,$E17="Ziel"),2)</f>
        <v>0</v>
      </c>
      <c r="K17" s="29">
        <f t="shared" si="100"/>
        <v>0</v>
      </c>
      <c r="L17" s="29">
        <f t="shared" si="100"/>
        <v>0</v>
      </c>
      <c r="M17" s="29">
        <f t="shared" si="100"/>
        <v>0</v>
      </c>
      <c r="N17" s="29">
        <f t="shared" si="100"/>
        <v>0</v>
      </c>
      <c r="O17" s="29">
        <f t="shared" si="100"/>
        <v>0</v>
      </c>
      <c r="P17" s="29">
        <f t="shared" si="100"/>
        <v>0</v>
      </c>
      <c r="Q17" s="29">
        <f t="shared" si="100"/>
        <v>0</v>
      </c>
      <c r="R17" s="29">
        <f t="shared" si="100"/>
        <v>0</v>
      </c>
      <c r="S17" s="29">
        <f t="shared" si="100"/>
        <v>0</v>
      </c>
      <c r="T17" s="29">
        <f t="shared" si="100"/>
        <v>0</v>
      </c>
      <c r="U17" s="29">
        <f t="shared" si="100"/>
        <v>0</v>
      </c>
      <c r="V17" s="29">
        <f t="shared" si="100"/>
        <v>0</v>
      </c>
      <c r="W17" s="29">
        <f t="shared" si="100"/>
        <v>0</v>
      </c>
      <c r="X17" s="29">
        <f t="shared" si="100"/>
        <v>0</v>
      </c>
      <c r="Y17" s="29">
        <f t="shared" si="100"/>
        <v>0</v>
      </c>
      <c r="Z17" s="29">
        <f t="shared" si="100"/>
        <v>0</v>
      </c>
      <c r="AA17" s="29">
        <f t="shared" si="100"/>
        <v>0</v>
      </c>
      <c r="AB17" s="29">
        <f t="shared" si="100"/>
        <v>0</v>
      </c>
      <c r="AC17" s="29">
        <f t="shared" si="100"/>
        <v>0</v>
      </c>
      <c r="AD17" s="29">
        <f t="shared" si="100"/>
        <v>0</v>
      </c>
      <c r="AE17" s="29">
        <f t="shared" si="100"/>
        <v>0</v>
      </c>
      <c r="AF17" s="29">
        <f t="shared" si="100"/>
        <v>0</v>
      </c>
      <c r="AG17" s="29">
        <f t="shared" si="100"/>
        <v>0</v>
      </c>
      <c r="AH17" s="29">
        <f t="shared" si="100"/>
        <v>0</v>
      </c>
      <c r="AI17" s="29">
        <f t="shared" si="100"/>
        <v>0</v>
      </c>
      <c r="AJ17" s="29">
        <f t="shared" si="100"/>
        <v>0</v>
      </c>
      <c r="AK17" s="29">
        <f t="shared" si="100"/>
        <v>0</v>
      </c>
      <c r="AL17" s="29">
        <f t="shared" si="100"/>
        <v>0</v>
      </c>
      <c r="AM17" s="29">
        <f t="shared" si="100"/>
        <v>0</v>
      </c>
      <c r="AN17" s="29">
        <f t="shared" si="100"/>
        <v>0</v>
      </c>
      <c r="AO17" s="29">
        <f t="shared" si="100"/>
        <v>0</v>
      </c>
      <c r="AP17" s="29">
        <f t="shared" si="98"/>
        <v>0</v>
      </c>
      <c r="AQ17" s="29">
        <f t="shared" si="98"/>
        <v>0</v>
      </c>
      <c r="AR17" s="29">
        <f t="shared" si="98"/>
        <v>0</v>
      </c>
      <c r="AS17" s="29">
        <f t="shared" si="98"/>
        <v>0</v>
      </c>
      <c r="AT17" s="29">
        <f t="shared" si="98"/>
        <v>0</v>
      </c>
      <c r="AU17" s="29">
        <f t="shared" si="98"/>
        <v>0</v>
      </c>
      <c r="AV17" s="29">
        <f t="shared" si="98"/>
        <v>0</v>
      </c>
      <c r="AW17" s="29">
        <f t="shared" si="98"/>
        <v>0</v>
      </c>
      <c r="AX17" s="29">
        <f t="shared" si="98"/>
        <v>0</v>
      </c>
      <c r="AY17" s="29">
        <f t="shared" si="98"/>
        <v>0</v>
      </c>
      <c r="AZ17" s="29">
        <f t="shared" si="98"/>
        <v>0</v>
      </c>
      <c r="BA17" s="29">
        <f t="shared" si="98"/>
        <v>0</v>
      </c>
      <c r="BB17" s="29">
        <f t="shared" si="98"/>
        <v>0</v>
      </c>
      <c r="BC17" s="29">
        <f t="shared" si="98"/>
        <v>0</v>
      </c>
      <c r="BD17" s="29">
        <f t="shared" si="98"/>
        <v>0</v>
      </c>
      <c r="BE17" s="29">
        <f t="shared" si="98"/>
        <v>0</v>
      </c>
      <c r="BF17" s="29">
        <f t="shared" si="98"/>
        <v>0</v>
      </c>
      <c r="BG17" s="29">
        <f t="shared" si="98"/>
        <v>0</v>
      </c>
      <c r="BH17" s="29">
        <f t="shared" si="98"/>
        <v>0</v>
      </c>
      <c r="BI17" s="29">
        <f t="shared" si="98"/>
        <v>0</v>
      </c>
      <c r="BJ17" s="29">
        <f t="shared" si="98"/>
        <v>0</v>
      </c>
      <c r="BK17" s="29">
        <f t="shared" si="98"/>
        <v>0</v>
      </c>
      <c r="BL17" s="29">
        <f t="shared" si="98"/>
        <v>0</v>
      </c>
      <c r="BM17" s="29">
        <f t="shared" si="98"/>
        <v>0</v>
      </c>
      <c r="BN17" s="29">
        <f t="shared" si="98"/>
        <v>0</v>
      </c>
      <c r="BO17" s="29">
        <f t="shared" si="98"/>
        <v>0</v>
      </c>
      <c r="BP17" s="29">
        <f t="shared" si="98"/>
        <v>0</v>
      </c>
      <c r="BQ17" s="29">
        <f t="shared" si="98"/>
        <v>0</v>
      </c>
      <c r="BR17" s="29">
        <f t="shared" si="98"/>
        <v>0</v>
      </c>
      <c r="BS17" s="29">
        <f t="shared" si="98"/>
        <v>0</v>
      </c>
      <c r="BT17" s="29">
        <f t="shared" si="98"/>
        <v>0</v>
      </c>
      <c r="BU17" s="29">
        <f t="shared" si="98"/>
        <v>0</v>
      </c>
      <c r="BV17" s="29">
        <f t="shared" si="98"/>
        <v>0</v>
      </c>
      <c r="BW17" s="29">
        <f t="shared" si="99"/>
        <v>0</v>
      </c>
      <c r="BX17" s="29">
        <f t="shared" si="99"/>
        <v>0</v>
      </c>
      <c r="BY17" s="29">
        <f t="shared" si="99"/>
        <v>0</v>
      </c>
      <c r="BZ17" s="29">
        <f t="shared" si="99"/>
        <v>0</v>
      </c>
      <c r="CA17" s="29">
        <f t="shared" si="99"/>
        <v>0</v>
      </c>
      <c r="CB17" s="29">
        <f t="shared" si="99"/>
        <v>0</v>
      </c>
      <c r="CC17" s="29">
        <f t="shared" si="99"/>
        <v>0</v>
      </c>
      <c r="CD17" s="29">
        <f t="shared" si="99"/>
        <v>0</v>
      </c>
      <c r="CE17" s="29">
        <f t="shared" si="99"/>
        <v>0</v>
      </c>
      <c r="CF17" s="29">
        <f t="shared" si="99"/>
        <v>0</v>
      </c>
      <c r="CG17" s="29">
        <f t="shared" si="99"/>
        <v>0</v>
      </c>
      <c r="CH17" s="29">
        <f t="shared" si="99"/>
        <v>0</v>
      </c>
      <c r="CI17" s="29">
        <f t="shared" si="99"/>
        <v>0</v>
      </c>
      <c r="CJ17" s="29">
        <f t="shared" si="99"/>
        <v>0</v>
      </c>
      <c r="CK17" s="29">
        <f t="shared" si="99"/>
        <v>0</v>
      </c>
      <c r="CL17" s="29">
        <f t="shared" si="99"/>
        <v>0</v>
      </c>
      <c r="CM17" s="29">
        <f t="shared" si="99"/>
        <v>0</v>
      </c>
      <c r="CN17" s="29">
        <f t="shared" si="99"/>
        <v>0</v>
      </c>
    </row>
    <row r="18" spans="2:92" ht="29" outlineLevel="1" x14ac:dyDescent="0.3">
      <c r="B18" s="30"/>
      <c r="C18" s="32" t="s">
        <v>26</v>
      </c>
      <c r="D18" s="35" t="s">
        <v>17</v>
      </c>
      <c r="E18" s="35" t="s">
        <v>15</v>
      </c>
      <c r="F18" s="33">
        <v>1</v>
      </c>
      <c r="G18" s="34">
        <v>45969</v>
      </c>
      <c r="H18" s="34">
        <v>45972</v>
      </c>
      <c r="I18" s="31"/>
      <c r="J18" s="29">
        <f t="shared" si="92"/>
        <v>0</v>
      </c>
      <c r="K18" s="29">
        <f t="shared" si="98"/>
        <v>0</v>
      </c>
      <c r="L18" s="29">
        <f t="shared" si="98"/>
        <v>0</v>
      </c>
      <c r="M18" s="29">
        <f t="shared" si="98"/>
        <v>0</v>
      </c>
      <c r="N18" s="29">
        <f t="shared" si="98"/>
        <v>0</v>
      </c>
      <c r="O18" s="29">
        <f t="shared" si="98"/>
        <v>0</v>
      </c>
      <c r="P18" s="29">
        <f t="shared" si="98"/>
        <v>0</v>
      </c>
      <c r="Q18" s="29">
        <f t="shared" si="98"/>
        <v>0</v>
      </c>
      <c r="R18" s="29">
        <f t="shared" si="98"/>
        <v>0</v>
      </c>
      <c r="S18" s="29">
        <f t="shared" si="98"/>
        <v>0</v>
      </c>
      <c r="T18" s="29">
        <f t="shared" si="98"/>
        <v>0</v>
      </c>
      <c r="U18" s="29">
        <f t="shared" si="98"/>
        <v>0</v>
      </c>
      <c r="V18" s="29">
        <f t="shared" si="98"/>
        <v>0</v>
      </c>
      <c r="W18" s="29">
        <f t="shared" si="98"/>
        <v>0</v>
      </c>
      <c r="X18" s="29">
        <f t="shared" si="98"/>
        <v>0</v>
      </c>
      <c r="Y18" s="29">
        <f t="shared" si="98"/>
        <v>0</v>
      </c>
      <c r="Z18" s="29">
        <f t="shared" si="98"/>
        <v>0</v>
      </c>
      <c r="AA18" s="29">
        <f t="shared" si="98"/>
        <v>0</v>
      </c>
      <c r="AB18" s="29">
        <f t="shared" si="98"/>
        <v>0</v>
      </c>
      <c r="AC18" s="29">
        <f t="shared" si="98"/>
        <v>0</v>
      </c>
      <c r="AD18" s="29">
        <f t="shared" si="98"/>
        <v>0</v>
      </c>
      <c r="AE18" s="29">
        <f t="shared" si="98"/>
        <v>0</v>
      </c>
      <c r="AF18" s="29">
        <f t="shared" si="98"/>
        <v>0</v>
      </c>
      <c r="AG18" s="29">
        <f t="shared" si="98"/>
        <v>0</v>
      </c>
      <c r="AH18" s="29">
        <f t="shared" si="98"/>
        <v>0</v>
      </c>
      <c r="AI18" s="29">
        <f t="shared" si="98"/>
        <v>0</v>
      </c>
      <c r="AJ18" s="29">
        <f t="shared" si="98"/>
        <v>0</v>
      </c>
      <c r="AK18" s="29">
        <f t="shared" si="98"/>
        <v>0</v>
      </c>
      <c r="AL18" s="29">
        <f t="shared" si="98"/>
        <v>0</v>
      </c>
      <c r="AM18" s="29">
        <f t="shared" si="98"/>
        <v>0</v>
      </c>
      <c r="AN18" s="29">
        <f t="shared" si="98"/>
        <v>0</v>
      </c>
      <c r="AO18" s="29">
        <f t="shared" si="98"/>
        <v>0</v>
      </c>
      <c r="AP18" s="29">
        <f t="shared" si="98"/>
        <v>0</v>
      </c>
      <c r="AQ18" s="29">
        <f t="shared" si="98"/>
        <v>0</v>
      </c>
      <c r="AR18" s="29">
        <f t="shared" si="98"/>
        <v>0</v>
      </c>
      <c r="AS18" s="29">
        <f t="shared" si="98"/>
        <v>0</v>
      </c>
      <c r="AT18" s="29">
        <f t="shared" si="98"/>
        <v>0</v>
      </c>
      <c r="AU18" s="29">
        <f t="shared" si="98"/>
        <v>0</v>
      </c>
      <c r="AV18" s="29">
        <f t="shared" si="98"/>
        <v>0</v>
      </c>
      <c r="AW18" s="29">
        <f t="shared" si="98"/>
        <v>0</v>
      </c>
      <c r="AX18" s="29">
        <f t="shared" si="98"/>
        <v>0</v>
      </c>
      <c r="AY18" s="29">
        <f t="shared" si="98"/>
        <v>0</v>
      </c>
      <c r="AZ18" s="29">
        <f t="shared" si="98"/>
        <v>0</v>
      </c>
      <c r="BA18" s="29">
        <f t="shared" si="98"/>
        <v>0</v>
      </c>
      <c r="BB18" s="29">
        <f t="shared" si="98"/>
        <v>0</v>
      </c>
      <c r="BC18" s="29">
        <f t="shared" si="98"/>
        <v>0</v>
      </c>
      <c r="BD18" s="29">
        <f t="shared" si="98"/>
        <v>0</v>
      </c>
      <c r="BE18" s="29">
        <f t="shared" si="98"/>
        <v>0</v>
      </c>
      <c r="BF18" s="29">
        <f t="shared" si="98"/>
        <v>0</v>
      </c>
      <c r="BG18" s="29">
        <f t="shared" si="98"/>
        <v>0</v>
      </c>
      <c r="BH18" s="29">
        <f t="shared" si="98"/>
        <v>0</v>
      </c>
      <c r="BI18" s="29">
        <f t="shared" si="98"/>
        <v>0</v>
      </c>
      <c r="BJ18" s="29">
        <f t="shared" si="98"/>
        <v>0</v>
      </c>
      <c r="BK18" s="29">
        <f t="shared" si="98"/>
        <v>0</v>
      </c>
      <c r="BL18" s="29">
        <f t="shared" si="98"/>
        <v>0</v>
      </c>
      <c r="BM18" s="29">
        <f t="shared" si="98"/>
        <v>0</v>
      </c>
      <c r="BN18" s="29">
        <f t="shared" si="98"/>
        <v>0</v>
      </c>
      <c r="BO18" s="29">
        <f t="shared" si="98"/>
        <v>0</v>
      </c>
      <c r="BP18" s="29">
        <f t="shared" si="98"/>
        <v>0</v>
      </c>
      <c r="BQ18" s="29">
        <f t="shared" si="98"/>
        <v>0</v>
      </c>
      <c r="BR18" s="29">
        <f t="shared" si="98"/>
        <v>0</v>
      </c>
      <c r="BS18" s="29">
        <f t="shared" si="98"/>
        <v>0</v>
      </c>
      <c r="BT18" s="29">
        <f t="shared" si="98"/>
        <v>0</v>
      </c>
      <c r="BU18" s="29">
        <f t="shared" si="98"/>
        <v>0</v>
      </c>
      <c r="BV18" s="29">
        <f t="shared" si="98"/>
        <v>0</v>
      </c>
      <c r="BW18" s="29">
        <f t="shared" si="99"/>
        <v>0</v>
      </c>
      <c r="BX18" s="29">
        <f t="shared" si="99"/>
        <v>0</v>
      </c>
      <c r="BY18" s="29">
        <f t="shared" si="99"/>
        <v>0</v>
      </c>
      <c r="BZ18" s="29">
        <f t="shared" si="99"/>
        <v>0</v>
      </c>
      <c r="CA18" s="29">
        <f t="shared" si="99"/>
        <v>0</v>
      </c>
      <c r="CB18" s="29">
        <f t="shared" si="99"/>
        <v>0</v>
      </c>
      <c r="CC18" s="29">
        <f t="shared" si="99"/>
        <v>0</v>
      </c>
      <c r="CD18" s="29">
        <f t="shared" si="99"/>
        <v>0</v>
      </c>
      <c r="CE18" s="29">
        <f t="shared" si="99"/>
        <v>0</v>
      </c>
      <c r="CF18" s="29">
        <f t="shared" si="99"/>
        <v>0</v>
      </c>
      <c r="CG18" s="29">
        <f t="shared" si="99"/>
        <v>0</v>
      </c>
      <c r="CH18" s="29">
        <f t="shared" si="99"/>
        <v>0</v>
      </c>
      <c r="CI18" s="29">
        <f t="shared" si="99"/>
        <v>0</v>
      </c>
      <c r="CJ18" s="29">
        <f t="shared" si="99"/>
        <v>0</v>
      </c>
      <c r="CK18" s="29">
        <f t="shared" si="99"/>
        <v>0</v>
      </c>
      <c r="CL18" s="29">
        <f t="shared" si="99"/>
        <v>0</v>
      </c>
      <c r="CM18" s="29">
        <f t="shared" si="99"/>
        <v>0</v>
      </c>
      <c r="CN18" s="29">
        <f t="shared" si="99"/>
        <v>0</v>
      </c>
    </row>
    <row r="19" spans="2:92" ht="29" outlineLevel="1" x14ac:dyDescent="0.3">
      <c r="B19" s="30"/>
      <c r="C19" s="32" t="s">
        <v>27</v>
      </c>
      <c r="D19" s="35" t="s">
        <v>17</v>
      </c>
      <c r="E19" s="35" t="s">
        <v>15</v>
      </c>
      <c r="F19" s="33">
        <v>1</v>
      </c>
      <c r="G19" s="34">
        <v>45973</v>
      </c>
      <c r="H19" s="34">
        <v>45973</v>
      </c>
      <c r="I19" s="31"/>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row>
    <row r="20" spans="2:92" outlineLevel="1" x14ac:dyDescent="0.3">
      <c r="B20" s="30" t="s">
        <v>28</v>
      </c>
      <c r="C20" s="32"/>
      <c r="D20" s="35"/>
      <c r="E20" s="35"/>
      <c r="F20" s="33"/>
      <c r="G20" s="34"/>
      <c r="H20" s="34"/>
      <c r="I20" s="31"/>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row>
    <row r="21" spans="2:92" ht="29" outlineLevel="1" x14ac:dyDescent="0.3">
      <c r="B21" s="30"/>
      <c r="C21" s="32" t="s">
        <v>29</v>
      </c>
      <c r="D21" s="32" t="s">
        <v>30</v>
      </c>
      <c r="E21" s="32" t="s">
        <v>15</v>
      </c>
      <c r="F21" s="33">
        <v>1</v>
      </c>
      <c r="G21" s="34">
        <v>45978</v>
      </c>
      <c r="H21" s="34">
        <v>45980</v>
      </c>
      <c r="I21" s="31"/>
      <c r="J21" s="29">
        <f t="shared" ref="J21:S22" si="101">IF(AND(J$5&gt;=$G21,J$5&lt;=$H21,$E21="Meilenstein"),1)+IF(AND(J$5&gt;=$G21,J$5&lt;=$H21,$E21="Ziel"),2)</f>
        <v>0</v>
      </c>
      <c r="K21" s="29">
        <f t="shared" si="101"/>
        <v>0</v>
      </c>
      <c r="L21" s="29">
        <f t="shared" si="101"/>
        <v>0</v>
      </c>
      <c r="M21" s="29">
        <f t="shared" si="101"/>
        <v>0</v>
      </c>
      <c r="N21" s="29">
        <f t="shared" si="101"/>
        <v>0</v>
      </c>
      <c r="O21" s="29">
        <f t="shared" si="101"/>
        <v>0</v>
      </c>
      <c r="P21" s="29">
        <f t="shared" si="101"/>
        <v>0</v>
      </c>
      <c r="Q21" s="29">
        <f t="shared" si="101"/>
        <v>0</v>
      </c>
      <c r="R21" s="29">
        <f t="shared" si="101"/>
        <v>0</v>
      </c>
      <c r="S21" s="29">
        <f t="shared" si="101"/>
        <v>0</v>
      </c>
      <c r="T21" s="29">
        <f t="shared" ref="T21:AC22" si="102">IF(AND(T$5&gt;=$G21,T$5&lt;=$H21,$E21="Meilenstein"),1)+IF(AND(T$5&gt;=$G21,T$5&lt;=$H21,$E21="Ziel"),2)</f>
        <v>0</v>
      </c>
      <c r="U21" s="29">
        <f t="shared" si="102"/>
        <v>0</v>
      </c>
      <c r="V21" s="29">
        <f t="shared" si="102"/>
        <v>0</v>
      </c>
      <c r="W21" s="29">
        <f t="shared" si="102"/>
        <v>0</v>
      </c>
      <c r="X21" s="29">
        <f t="shared" si="102"/>
        <v>0</v>
      </c>
      <c r="Y21" s="29">
        <f t="shared" si="102"/>
        <v>0</v>
      </c>
      <c r="Z21" s="29">
        <f t="shared" si="102"/>
        <v>0</v>
      </c>
      <c r="AA21" s="29">
        <f t="shared" si="102"/>
        <v>0</v>
      </c>
      <c r="AB21" s="29">
        <f t="shared" si="102"/>
        <v>0</v>
      </c>
      <c r="AC21" s="29">
        <f t="shared" si="102"/>
        <v>0</v>
      </c>
      <c r="AD21" s="29">
        <f t="shared" ref="AD21:AM22" si="103">IF(AND(AD$5&gt;=$G21,AD$5&lt;=$H21,$E21="Meilenstein"),1)+IF(AND(AD$5&gt;=$G21,AD$5&lt;=$H21,$E21="Ziel"),2)</f>
        <v>0</v>
      </c>
      <c r="AE21" s="29">
        <f t="shared" si="103"/>
        <v>0</v>
      </c>
      <c r="AF21" s="29">
        <f t="shared" si="103"/>
        <v>0</v>
      </c>
      <c r="AG21" s="29">
        <f t="shared" si="103"/>
        <v>0</v>
      </c>
      <c r="AH21" s="29">
        <f t="shared" si="103"/>
        <v>0</v>
      </c>
      <c r="AI21" s="29">
        <f t="shared" si="103"/>
        <v>0</v>
      </c>
      <c r="AJ21" s="29">
        <f t="shared" si="103"/>
        <v>0</v>
      </c>
      <c r="AK21" s="29">
        <f t="shared" si="103"/>
        <v>0</v>
      </c>
      <c r="AL21" s="29">
        <f t="shared" si="103"/>
        <v>0</v>
      </c>
      <c r="AM21" s="29">
        <f t="shared" si="103"/>
        <v>0</v>
      </c>
      <c r="AN21" s="29">
        <f t="shared" ref="AN21:AW22" si="104">IF(AND(AN$5&gt;=$G21,AN$5&lt;=$H21,$E21="Meilenstein"),1)+IF(AND(AN$5&gt;=$G21,AN$5&lt;=$H21,$E21="Ziel"),2)</f>
        <v>0</v>
      </c>
      <c r="AO21" s="29">
        <f t="shared" si="104"/>
        <v>0</v>
      </c>
      <c r="AP21" s="29">
        <f t="shared" si="104"/>
        <v>0</v>
      </c>
      <c r="AQ21" s="29">
        <f t="shared" si="104"/>
        <v>0</v>
      </c>
      <c r="AR21" s="29">
        <f t="shared" si="104"/>
        <v>0</v>
      </c>
      <c r="AS21" s="29">
        <f t="shared" si="104"/>
        <v>0</v>
      </c>
      <c r="AT21" s="29">
        <f t="shared" si="104"/>
        <v>0</v>
      </c>
      <c r="AU21" s="29">
        <f t="shared" si="104"/>
        <v>0</v>
      </c>
      <c r="AV21" s="29">
        <f t="shared" si="104"/>
        <v>0</v>
      </c>
      <c r="AW21" s="29">
        <f t="shared" si="104"/>
        <v>0</v>
      </c>
      <c r="AX21" s="29">
        <f t="shared" ref="AX21:BG22" si="105">IF(AND(AX$5&gt;=$G21,AX$5&lt;=$H21,$E21="Meilenstein"),1)+IF(AND(AX$5&gt;=$G21,AX$5&lt;=$H21,$E21="Ziel"),2)</f>
        <v>0</v>
      </c>
      <c r="AY21" s="29">
        <f t="shared" si="105"/>
        <v>0</v>
      </c>
      <c r="AZ21" s="29">
        <f t="shared" si="105"/>
        <v>0</v>
      </c>
      <c r="BA21" s="29">
        <f t="shared" si="105"/>
        <v>0</v>
      </c>
      <c r="BB21" s="29">
        <f t="shared" si="105"/>
        <v>0</v>
      </c>
      <c r="BC21" s="29">
        <f t="shared" si="105"/>
        <v>0</v>
      </c>
      <c r="BD21" s="29">
        <f t="shared" si="105"/>
        <v>0</v>
      </c>
      <c r="BE21" s="29">
        <f t="shared" si="105"/>
        <v>0</v>
      </c>
      <c r="BF21" s="29">
        <f t="shared" si="105"/>
        <v>0</v>
      </c>
      <c r="BG21" s="29">
        <f t="shared" si="105"/>
        <v>0</v>
      </c>
      <c r="BH21" s="29">
        <f t="shared" ref="BH21:BQ22" si="106">IF(AND(BH$5&gt;=$G21,BH$5&lt;=$H21,$E21="Meilenstein"),1)+IF(AND(BH$5&gt;=$G21,BH$5&lt;=$H21,$E21="Ziel"),2)</f>
        <v>0</v>
      </c>
      <c r="BI21" s="29">
        <f t="shared" si="106"/>
        <v>0</v>
      </c>
      <c r="BJ21" s="29">
        <f t="shared" si="106"/>
        <v>0</v>
      </c>
      <c r="BK21" s="29">
        <f t="shared" si="106"/>
        <v>0</v>
      </c>
      <c r="BL21" s="29">
        <f t="shared" si="106"/>
        <v>0</v>
      </c>
      <c r="BM21" s="29">
        <f t="shared" si="106"/>
        <v>0</v>
      </c>
      <c r="BN21" s="29">
        <f t="shared" si="106"/>
        <v>0</v>
      </c>
      <c r="BO21" s="29">
        <f t="shared" si="106"/>
        <v>0</v>
      </c>
      <c r="BP21" s="29">
        <f t="shared" si="106"/>
        <v>0</v>
      </c>
      <c r="BQ21" s="29">
        <f t="shared" si="106"/>
        <v>0</v>
      </c>
      <c r="BR21" s="29">
        <f t="shared" ref="BR21:CA22" si="107">IF(AND(BR$5&gt;=$G21,BR$5&lt;=$H21,$E21="Meilenstein"),1)+IF(AND(BR$5&gt;=$G21,BR$5&lt;=$H21,$E21="Ziel"),2)</f>
        <v>0</v>
      </c>
      <c r="BS21" s="29">
        <f t="shared" si="107"/>
        <v>0</v>
      </c>
      <c r="BT21" s="29">
        <f t="shared" si="107"/>
        <v>0</v>
      </c>
      <c r="BU21" s="29">
        <f t="shared" si="107"/>
        <v>0</v>
      </c>
      <c r="BV21" s="29">
        <f t="shared" si="107"/>
        <v>0</v>
      </c>
      <c r="BW21" s="29">
        <f t="shared" si="107"/>
        <v>0</v>
      </c>
      <c r="BX21" s="29">
        <f t="shared" si="107"/>
        <v>0</v>
      </c>
      <c r="BY21" s="29">
        <f t="shared" si="107"/>
        <v>0</v>
      </c>
      <c r="BZ21" s="29">
        <f t="shared" si="107"/>
        <v>0</v>
      </c>
      <c r="CA21" s="29">
        <f t="shared" si="107"/>
        <v>0</v>
      </c>
      <c r="CB21" s="29">
        <f t="shared" ref="CB21:CK22" si="108">IF(AND(CB$5&gt;=$G21,CB$5&lt;=$H21,$E21="Meilenstein"),1)+IF(AND(CB$5&gt;=$G21,CB$5&lt;=$H21,$E21="Ziel"),2)</f>
        <v>0</v>
      </c>
      <c r="CC21" s="29">
        <f t="shared" si="108"/>
        <v>0</v>
      </c>
      <c r="CD21" s="29">
        <f t="shared" si="108"/>
        <v>0</v>
      </c>
      <c r="CE21" s="29">
        <f t="shared" si="108"/>
        <v>0</v>
      </c>
      <c r="CF21" s="29">
        <f t="shared" si="108"/>
        <v>0</v>
      </c>
      <c r="CG21" s="29">
        <f t="shared" si="108"/>
        <v>0</v>
      </c>
      <c r="CH21" s="29">
        <f t="shared" si="108"/>
        <v>0</v>
      </c>
      <c r="CI21" s="29">
        <f t="shared" si="108"/>
        <v>0</v>
      </c>
      <c r="CJ21" s="29">
        <f t="shared" si="108"/>
        <v>0</v>
      </c>
      <c r="CK21" s="29">
        <f t="shared" si="108"/>
        <v>0</v>
      </c>
      <c r="CL21" s="29">
        <f t="shared" ref="CL21:CN22" si="109">IF(AND(CL$5&gt;=$G21,CL$5&lt;=$H21,$E21="Meilenstein"),1)+IF(AND(CL$5&gt;=$G21,CL$5&lt;=$H21,$E21="Ziel"),2)</f>
        <v>0</v>
      </c>
      <c r="CM21" s="29">
        <f t="shared" si="109"/>
        <v>0</v>
      </c>
      <c r="CN21" s="29">
        <f t="shared" si="109"/>
        <v>0</v>
      </c>
    </row>
    <row r="22" spans="2:92" outlineLevel="1" x14ac:dyDescent="0.3">
      <c r="B22" s="32"/>
      <c r="C22" s="32" t="s">
        <v>31</v>
      </c>
      <c r="D22" s="32" t="s">
        <v>30</v>
      </c>
      <c r="E22" s="32" t="s">
        <v>15</v>
      </c>
      <c r="F22" s="33">
        <v>1</v>
      </c>
      <c r="G22" s="34">
        <v>45980</v>
      </c>
      <c r="H22" s="34">
        <v>45985</v>
      </c>
      <c r="I22" s="31"/>
      <c r="J22" s="29">
        <f t="shared" si="101"/>
        <v>0</v>
      </c>
      <c r="K22" s="29">
        <f t="shared" si="101"/>
        <v>0</v>
      </c>
      <c r="L22" s="29">
        <f t="shared" si="101"/>
        <v>0</v>
      </c>
      <c r="M22" s="29">
        <f t="shared" si="101"/>
        <v>0</v>
      </c>
      <c r="N22" s="29">
        <f t="shared" si="101"/>
        <v>0</v>
      </c>
      <c r="O22" s="29">
        <f t="shared" si="101"/>
        <v>0</v>
      </c>
      <c r="P22" s="29">
        <f t="shared" si="101"/>
        <v>0</v>
      </c>
      <c r="Q22" s="29">
        <f t="shared" si="101"/>
        <v>0</v>
      </c>
      <c r="R22" s="29">
        <f t="shared" si="101"/>
        <v>0</v>
      </c>
      <c r="S22" s="29">
        <f t="shared" si="101"/>
        <v>0</v>
      </c>
      <c r="T22" s="29">
        <f t="shared" si="102"/>
        <v>0</v>
      </c>
      <c r="U22" s="29">
        <f t="shared" si="102"/>
        <v>0</v>
      </c>
      <c r="V22" s="29">
        <f t="shared" si="102"/>
        <v>0</v>
      </c>
      <c r="W22" s="29">
        <f t="shared" si="102"/>
        <v>0</v>
      </c>
      <c r="X22" s="29">
        <f t="shared" si="102"/>
        <v>0</v>
      </c>
      <c r="Y22" s="29">
        <f t="shared" si="102"/>
        <v>0</v>
      </c>
      <c r="Z22" s="29">
        <f t="shared" si="102"/>
        <v>0</v>
      </c>
      <c r="AA22" s="29">
        <f t="shared" si="102"/>
        <v>0</v>
      </c>
      <c r="AB22" s="29">
        <f t="shared" si="102"/>
        <v>0</v>
      </c>
      <c r="AC22" s="29">
        <f t="shared" si="102"/>
        <v>0</v>
      </c>
      <c r="AD22" s="29">
        <f t="shared" si="103"/>
        <v>0</v>
      </c>
      <c r="AE22" s="29">
        <f t="shared" si="103"/>
        <v>0</v>
      </c>
      <c r="AF22" s="29">
        <f t="shared" si="103"/>
        <v>0</v>
      </c>
      <c r="AG22" s="29">
        <f t="shared" si="103"/>
        <v>0</v>
      </c>
      <c r="AH22" s="29">
        <f t="shared" si="103"/>
        <v>0</v>
      </c>
      <c r="AI22" s="29">
        <f t="shared" si="103"/>
        <v>0</v>
      </c>
      <c r="AJ22" s="29">
        <f t="shared" si="103"/>
        <v>0</v>
      </c>
      <c r="AK22" s="29">
        <f t="shared" si="103"/>
        <v>0</v>
      </c>
      <c r="AL22" s="29">
        <f t="shared" si="103"/>
        <v>0</v>
      </c>
      <c r="AM22" s="29">
        <f t="shared" si="103"/>
        <v>0</v>
      </c>
      <c r="AN22" s="29">
        <f t="shared" si="104"/>
        <v>0</v>
      </c>
      <c r="AO22" s="29">
        <f t="shared" si="104"/>
        <v>0</v>
      </c>
      <c r="AP22" s="29">
        <f t="shared" si="104"/>
        <v>0</v>
      </c>
      <c r="AQ22" s="29">
        <f t="shared" si="104"/>
        <v>0</v>
      </c>
      <c r="AR22" s="29">
        <f t="shared" si="104"/>
        <v>0</v>
      </c>
      <c r="AS22" s="29">
        <f t="shared" si="104"/>
        <v>0</v>
      </c>
      <c r="AT22" s="29">
        <f t="shared" si="104"/>
        <v>0</v>
      </c>
      <c r="AU22" s="29">
        <f t="shared" si="104"/>
        <v>0</v>
      </c>
      <c r="AV22" s="29">
        <f t="shared" si="104"/>
        <v>0</v>
      </c>
      <c r="AW22" s="29">
        <f t="shared" si="104"/>
        <v>0</v>
      </c>
      <c r="AX22" s="29">
        <f t="shared" si="105"/>
        <v>0</v>
      </c>
      <c r="AY22" s="29">
        <f t="shared" si="105"/>
        <v>0</v>
      </c>
      <c r="AZ22" s="29">
        <f t="shared" si="105"/>
        <v>0</v>
      </c>
      <c r="BA22" s="29">
        <f t="shared" si="105"/>
        <v>0</v>
      </c>
      <c r="BB22" s="29">
        <f t="shared" si="105"/>
        <v>0</v>
      </c>
      <c r="BC22" s="29">
        <f t="shared" si="105"/>
        <v>0</v>
      </c>
      <c r="BD22" s="29">
        <f t="shared" si="105"/>
        <v>0</v>
      </c>
      <c r="BE22" s="29">
        <f t="shared" si="105"/>
        <v>0</v>
      </c>
      <c r="BF22" s="29">
        <f t="shared" si="105"/>
        <v>0</v>
      </c>
      <c r="BG22" s="29">
        <f t="shared" si="105"/>
        <v>0</v>
      </c>
      <c r="BH22" s="29">
        <f t="shared" si="106"/>
        <v>0</v>
      </c>
      <c r="BI22" s="29">
        <f t="shared" si="106"/>
        <v>0</v>
      </c>
      <c r="BJ22" s="29">
        <f t="shared" si="106"/>
        <v>0</v>
      </c>
      <c r="BK22" s="29">
        <f t="shared" si="106"/>
        <v>0</v>
      </c>
      <c r="BL22" s="29">
        <f t="shared" si="106"/>
        <v>0</v>
      </c>
      <c r="BM22" s="29">
        <f t="shared" si="106"/>
        <v>0</v>
      </c>
      <c r="BN22" s="29">
        <f t="shared" si="106"/>
        <v>0</v>
      </c>
      <c r="BO22" s="29">
        <f t="shared" si="106"/>
        <v>0</v>
      </c>
      <c r="BP22" s="29">
        <f t="shared" si="106"/>
        <v>0</v>
      </c>
      <c r="BQ22" s="29">
        <f t="shared" si="106"/>
        <v>0</v>
      </c>
      <c r="BR22" s="29">
        <f t="shared" si="107"/>
        <v>0</v>
      </c>
      <c r="BS22" s="29">
        <f t="shared" si="107"/>
        <v>0</v>
      </c>
      <c r="BT22" s="29">
        <f t="shared" si="107"/>
        <v>0</v>
      </c>
      <c r="BU22" s="29">
        <f t="shared" si="107"/>
        <v>0</v>
      </c>
      <c r="BV22" s="29">
        <f t="shared" si="107"/>
        <v>0</v>
      </c>
      <c r="BW22" s="29">
        <f t="shared" si="107"/>
        <v>0</v>
      </c>
      <c r="BX22" s="29">
        <f t="shared" si="107"/>
        <v>0</v>
      </c>
      <c r="BY22" s="29">
        <f t="shared" si="107"/>
        <v>0</v>
      </c>
      <c r="BZ22" s="29">
        <f t="shared" si="107"/>
        <v>0</v>
      </c>
      <c r="CA22" s="29">
        <f t="shared" si="107"/>
        <v>0</v>
      </c>
      <c r="CB22" s="29">
        <f t="shared" si="108"/>
        <v>0</v>
      </c>
      <c r="CC22" s="29">
        <f t="shared" si="108"/>
        <v>0</v>
      </c>
      <c r="CD22" s="29">
        <f t="shared" si="108"/>
        <v>0</v>
      </c>
      <c r="CE22" s="29">
        <f t="shared" si="108"/>
        <v>0</v>
      </c>
      <c r="CF22" s="29">
        <f t="shared" si="108"/>
        <v>0</v>
      </c>
      <c r="CG22" s="29">
        <f t="shared" si="108"/>
        <v>0</v>
      </c>
      <c r="CH22" s="29">
        <f t="shared" si="108"/>
        <v>0</v>
      </c>
      <c r="CI22" s="29">
        <f t="shared" si="108"/>
        <v>0</v>
      </c>
      <c r="CJ22" s="29">
        <f t="shared" si="108"/>
        <v>0</v>
      </c>
      <c r="CK22" s="29">
        <f t="shared" si="108"/>
        <v>0</v>
      </c>
      <c r="CL22" s="29">
        <f t="shared" si="109"/>
        <v>0</v>
      </c>
      <c r="CM22" s="29">
        <f t="shared" si="109"/>
        <v>0</v>
      </c>
      <c r="CN22" s="29">
        <f t="shared" si="109"/>
        <v>0</v>
      </c>
    </row>
    <row r="23" spans="2:92" outlineLevel="1" x14ac:dyDescent="0.3">
      <c r="B23" s="32"/>
      <c r="C23" s="32" t="s">
        <v>32</v>
      </c>
      <c r="D23" s="32" t="s">
        <v>30</v>
      </c>
      <c r="E23" s="32" t="s">
        <v>15</v>
      </c>
      <c r="F23" s="33">
        <v>1</v>
      </c>
      <c r="G23" s="34">
        <v>45986</v>
      </c>
      <c r="H23" s="34">
        <v>45986</v>
      </c>
      <c r="I23" s="31"/>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row>
    <row r="24" spans="2:92" ht="29" outlineLevel="1" x14ac:dyDescent="0.3">
      <c r="B24" s="30"/>
      <c r="C24" s="32" t="s">
        <v>33</v>
      </c>
      <c r="D24" s="32" t="s">
        <v>30</v>
      </c>
      <c r="E24" s="32" t="s">
        <v>15</v>
      </c>
      <c r="F24" s="33">
        <v>1</v>
      </c>
      <c r="G24" s="34">
        <v>45987</v>
      </c>
      <c r="H24" s="34">
        <v>45987</v>
      </c>
      <c r="I24" s="31"/>
      <c r="J24" s="29">
        <f t="shared" ref="J24:S25" si="110">IF(AND(J$5&gt;=$G24,J$5&lt;=$H24,$E24="Meilenstein"),1)+IF(AND(J$5&gt;=$G24,J$5&lt;=$H24,$E24="Ziel"),2)</f>
        <v>0</v>
      </c>
      <c r="K24" s="29">
        <f t="shared" si="110"/>
        <v>0</v>
      </c>
      <c r="L24" s="29">
        <f t="shared" si="110"/>
        <v>0</v>
      </c>
      <c r="M24" s="29">
        <f t="shared" si="110"/>
        <v>0</v>
      </c>
      <c r="N24" s="29">
        <f t="shared" si="110"/>
        <v>0</v>
      </c>
      <c r="O24" s="29">
        <f t="shared" si="110"/>
        <v>0</v>
      </c>
      <c r="P24" s="29">
        <f t="shared" si="110"/>
        <v>0</v>
      </c>
      <c r="Q24" s="29">
        <f t="shared" si="110"/>
        <v>0</v>
      </c>
      <c r="R24" s="29">
        <f t="shared" si="110"/>
        <v>0</v>
      </c>
      <c r="S24" s="29">
        <f t="shared" si="110"/>
        <v>0</v>
      </c>
      <c r="T24" s="29">
        <f t="shared" ref="T24:AC25" si="111">IF(AND(T$5&gt;=$G24,T$5&lt;=$H24,$E24="Meilenstein"),1)+IF(AND(T$5&gt;=$G24,T$5&lt;=$H24,$E24="Ziel"),2)</f>
        <v>0</v>
      </c>
      <c r="U24" s="29">
        <f t="shared" si="111"/>
        <v>0</v>
      </c>
      <c r="V24" s="29">
        <f t="shared" si="111"/>
        <v>0</v>
      </c>
      <c r="W24" s="29">
        <f t="shared" si="111"/>
        <v>0</v>
      </c>
      <c r="X24" s="29">
        <f t="shared" si="111"/>
        <v>0</v>
      </c>
      <c r="Y24" s="29">
        <f t="shared" si="111"/>
        <v>0</v>
      </c>
      <c r="Z24" s="29">
        <f t="shared" si="111"/>
        <v>0</v>
      </c>
      <c r="AA24" s="29">
        <f t="shared" si="111"/>
        <v>0</v>
      </c>
      <c r="AB24" s="29">
        <f t="shared" si="111"/>
        <v>0</v>
      </c>
      <c r="AC24" s="29">
        <f t="shared" si="111"/>
        <v>0</v>
      </c>
      <c r="AD24" s="29">
        <f t="shared" ref="AD24:AM25" si="112">IF(AND(AD$5&gt;=$G24,AD$5&lt;=$H24,$E24="Meilenstein"),1)+IF(AND(AD$5&gt;=$G24,AD$5&lt;=$H24,$E24="Ziel"),2)</f>
        <v>0</v>
      </c>
      <c r="AE24" s="29">
        <f t="shared" si="112"/>
        <v>0</v>
      </c>
      <c r="AF24" s="29">
        <f t="shared" si="112"/>
        <v>0</v>
      </c>
      <c r="AG24" s="29">
        <f t="shared" si="112"/>
        <v>0</v>
      </c>
      <c r="AH24" s="29">
        <f t="shared" si="112"/>
        <v>0</v>
      </c>
      <c r="AI24" s="29">
        <f t="shared" si="112"/>
        <v>0</v>
      </c>
      <c r="AJ24" s="29">
        <f t="shared" si="112"/>
        <v>0</v>
      </c>
      <c r="AK24" s="29">
        <f t="shared" si="112"/>
        <v>0</v>
      </c>
      <c r="AL24" s="29">
        <f t="shared" si="112"/>
        <v>0</v>
      </c>
      <c r="AM24" s="29">
        <f t="shared" si="112"/>
        <v>0</v>
      </c>
      <c r="AN24" s="29">
        <f t="shared" ref="AN24:AW25" si="113">IF(AND(AN$5&gt;=$G24,AN$5&lt;=$H24,$E24="Meilenstein"),1)+IF(AND(AN$5&gt;=$G24,AN$5&lt;=$H24,$E24="Ziel"),2)</f>
        <v>0</v>
      </c>
      <c r="AO24" s="29">
        <f t="shared" si="113"/>
        <v>0</v>
      </c>
      <c r="AP24" s="29">
        <f t="shared" si="113"/>
        <v>0</v>
      </c>
      <c r="AQ24" s="29">
        <f t="shared" si="113"/>
        <v>0</v>
      </c>
      <c r="AR24" s="29">
        <f t="shared" si="113"/>
        <v>0</v>
      </c>
      <c r="AS24" s="29">
        <f t="shared" si="113"/>
        <v>0</v>
      </c>
      <c r="AT24" s="29">
        <f t="shared" si="113"/>
        <v>0</v>
      </c>
      <c r="AU24" s="29">
        <f t="shared" si="113"/>
        <v>0</v>
      </c>
      <c r="AV24" s="29">
        <f t="shared" si="113"/>
        <v>0</v>
      </c>
      <c r="AW24" s="29">
        <f t="shared" si="113"/>
        <v>0</v>
      </c>
      <c r="AX24" s="29">
        <f t="shared" ref="AX24:BG25" si="114">IF(AND(AX$5&gt;=$G24,AX$5&lt;=$H24,$E24="Meilenstein"),1)+IF(AND(AX$5&gt;=$G24,AX$5&lt;=$H24,$E24="Ziel"),2)</f>
        <v>0</v>
      </c>
      <c r="AY24" s="29">
        <f t="shared" si="114"/>
        <v>0</v>
      </c>
      <c r="AZ24" s="29">
        <f t="shared" si="114"/>
        <v>0</v>
      </c>
      <c r="BA24" s="29">
        <f t="shared" si="114"/>
        <v>0</v>
      </c>
      <c r="BB24" s="29">
        <f t="shared" si="114"/>
        <v>0</v>
      </c>
      <c r="BC24" s="29">
        <f t="shared" si="114"/>
        <v>0</v>
      </c>
      <c r="BD24" s="29">
        <f t="shared" si="114"/>
        <v>0</v>
      </c>
      <c r="BE24" s="29">
        <f t="shared" si="114"/>
        <v>0</v>
      </c>
      <c r="BF24" s="29">
        <f t="shared" si="114"/>
        <v>0</v>
      </c>
      <c r="BG24" s="29">
        <f t="shared" si="114"/>
        <v>0</v>
      </c>
      <c r="BH24" s="29">
        <f t="shared" ref="BH24:BQ25" si="115">IF(AND(BH$5&gt;=$G24,BH$5&lt;=$H24,$E24="Meilenstein"),1)+IF(AND(BH$5&gt;=$G24,BH$5&lt;=$H24,$E24="Ziel"),2)</f>
        <v>0</v>
      </c>
      <c r="BI24" s="29">
        <f t="shared" si="115"/>
        <v>0</v>
      </c>
      <c r="BJ24" s="29">
        <f t="shared" si="115"/>
        <v>0</v>
      </c>
      <c r="BK24" s="29">
        <f t="shared" si="115"/>
        <v>0</v>
      </c>
      <c r="BL24" s="29">
        <f t="shared" si="115"/>
        <v>0</v>
      </c>
      <c r="BM24" s="29">
        <f t="shared" si="115"/>
        <v>0</v>
      </c>
      <c r="BN24" s="29">
        <f t="shared" si="115"/>
        <v>0</v>
      </c>
      <c r="BO24" s="29">
        <f t="shared" si="115"/>
        <v>0</v>
      </c>
      <c r="BP24" s="29">
        <f t="shared" si="115"/>
        <v>0</v>
      </c>
      <c r="BQ24" s="29">
        <f t="shared" si="115"/>
        <v>0</v>
      </c>
      <c r="BR24" s="29">
        <f t="shared" ref="BR24:CA25" si="116">IF(AND(BR$5&gt;=$G24,BR$5&lt;=$H24,$E24="Meilenstein"),1)+IF(AND(BR$5&gt;=$G24,BR$5&lt;=$H24,$E24="Ziel"),2)</f>
        <v>0</v>
      </c>
      <c r="BS24" s="29">
        <f t="shared" si="116"/>
        <v>0</v>
      </c>
      <c r="BT24" s="29">
        <f t="shared" si="116"/>
        <v>0</v>
      </c>
      <c r="BU24" s="29">
        <f t="shared" si="116"/>
        <v>0</v>
      </c>
      <c r="BV24" s="29">
        <f t="shared" si="116"/>
        <v>0</v>
      </c>
      <c r="BW24" s="29">
        <f t="shared" si="116"/>
        <v>0</v>
      </c>
      <c r="BX24" s="29">
        <f t="shared" si="116"/>
        <v>0</v>
      </c>
      <c r="BY24" s="29">
        <f t="shared" si="116"/>
        <v>0</v>
      </c>
      <c r="BZ24" s="29">
        <f t="shared" si="116"/>
        <v>0</v>
      </c>
      <c r="CA24" s="29">
        <f t="shared" si="116"/>
        <v>0</v>
      </c>
      <c r="CB24" s="29">
        <f t="shared" ref="CB24:CK25" si="117">IF(AND(CB$5&gt;=$G24,CB$5&lt;=$H24,$E24="Meilenstein"),1)+IF(AND(CB$5&gt;=$G24,CB$5&lt;=$H24,$E24="Ziel"),2)</f>
        <v>0</v>
      </c>
      <c r="CC24" s="29">
        <f t="shared" si="117"/>
        <v>0</v>
      </c>
      <c r="CD24" s="29">
        <f t="shared" si="117"/>
        <v>0</v>
      </c>
      <c r="CE24" s="29">
        <f t="shared" si="117"/>
        <v>0</v>
      </c>
      <c r="CF24" s="29">
        <f t="shared" si="117"/>
        <v>0</v>
      </c>
      <c r="CG24" s="29">
        <f t="shared" si="117"/>
        <v>0</v>
      </c>
      <c r="CH24" s="29">
        <f t="shared" si="117"/>
        <v>0</v>
      </c>
      <c r="CI24" s="29">
        <f t="shared" si="117"/>
        <v>0</v>
      </c>
      <c r="CJ24" s="29">
        <f t="shared" si="117"/>
        <v>0</v>
      </c>
      <c r="CK24" s="29">
        <f t="shared" si="117"/>
        <v>0</v>
      </c>
      <c r="CL24" s="29">
        <f t="shared" ref="CL24:CN25" si="118">IF(AND(CL$5&gt;=$G24,CL$5&lt;=$H24,$E24="Meilenstein"),1)+IF(AND(CL$5&gt;=$G24,CL$5&lt;=$H24,$E24="Ziel"),2)</f>
        <v>0</v>
      </c>
      <c r="CM24" s="29">
        <f t="shared" si="118"/>
        <v>0</v>
      </c>
      <c r="CN24" s="29">
        <f t="shared" si="118"/>
        <v>0</v>
      </c>
    </row>
    <row r="25" spans="2:92" outlineLevel="1" x14ac:dyDescent="0.3">
      <c r="B25" s="30" t="s">
        <v>34</v>
      </c>
      <c r="C25" s="32"/>
      <c r="D25" s="32"/>
      <c r="E25" s="32"/>
      <c r="F25" s="33"/>
      <c r="G25" s="34"/>
      <c r="H25" s="34"/>
      <c r="I25" s="31"/>
      <c r="J25" s="29">
        <f t="shared" si="110"/>
        <v>0</v>
      </c>
      <c r="K25" s="29">
        <f t="shared" si="110"/>
        <v>0</v>
      </c>
      <c r="L25" s="29">
        <f t="shared" si="110"/>
        <v>0</v>
      </c>
      <c r="M25" s="29">
        <f t="shared" si="110"/>
        <v>0</v>
      </c>
      <c r="N25" s="29">
        <f t="shared" si="110"/>
        <v>0</v>
      </c>
      <c r="O25" s="29">
        <f t="shared" si="110"/>
        <v>0</v>
      </c>
      <c r="P25" s="29">
        <f t="shared" si="110"/>
        <v>0</v>
      </c>
      <c r="Q25" s="29">
        <f t="shared" si="110"/>
        <v>0</v>
      </c>
      <c r="R25" s="29">
        <f t="shared" si="110"/>
        <v>0</v>
      </c>
      <c r="S25" s="29">
        <f t="shared" si="110"/>
        <v>0</v>
      </c>
      <c r="T25" s="29">
        <f t="shared" si="111"/>
        <v>0</v>
      </c>
      <c r="U25" s="29">
        <f t="shared" si="111"/>
        <v>0</v>
      </c>
      <c r="V25" s="29">
        <f t="shared" si="111"/>
        <v>0</v>
      </c>
      <c r="W25" s="29">
        <f t="shared" si="111"/>
        <v>0</v>
      </c>
      <c r="X25" s="29">
        <f t="shared" si="111"/>
        <v>0</v>
      </c>
      <c r="Y25" s="29">
        <f t="shared" si="111"/>
        <v>0</v>
      </c>
      <c r="Z25" s="29">
        <f t="shared" si="111"/>
        <v>0</v>
      </c>
      <c r="AA25" s="29">
        <f t="shared" si="111"/>
        <v>0</v>
      </c>
      <c r="AB25" s="29">
        <f t="shared" si="111"/>
        <v>0</v>
      </c>
      <c r="AC25" s="29">
        <f t="shared" si="111"/>
        <v>0</v>
      </c>
      <c r="AD25" s="29">
        <f t="shared" si="112"/>
        <v>0</v>
      </c>
      <c r="AE25" s="29">
        <f t="shared" si="112"/>
        <v>0</v>
      </c>
      <c r="AF25" s="29">
        <f t="shared" si="112"/>
        <v>0</v>
      </c>
      <c r="AG25" s="29">
        <f t="shared" si="112"/>
        <v>0</v>
      </c>
      <c r="AH25" s="29">
        <f t="shared" si="112"/>
        <v>0</v>
      </c>
      <c r="AI25" s="29">
        <f t="shared" si="112"/>
        <v>0</v>
      </c>
      <c r="AJ25" s="29">
        <f t="shared" si="112"/>
        <v>0</v>
      </c>
      <c r="AK25" s="29">
        <f t="shared" si="112"/>
        <v>0</v>
      </c>
      <c r="AL25" s="29">
        <f t="shared" si="112"/>
        <v>0</v>
      </c>
      <c r="AM25" s="29">
        <f t="shared" si="112"/>
        <v>0</v>
      </c>
      <c r="AN25" s="29">
        <f t="shared" si="113"/>
        <v>0</v>
      </c>
      <c r="AO25" s="29">
        <f t="shared" si="113"/>
        <v>0</v>
      </c>
      <c r="AP25" s="29">
        <f t="shared" si="113"/>
        <v>0</v>
      </c>
      <c r="AQ25" s="29">
        <f t="shared" si="113"/>
        <v>0</v>
      </c>
      <c r="AR25" s="29">
        <f t="shared" si="113"/>
        <v>0</v>
      </c>
      <c r="AS25" s="29">
        <f t="shared" si="113"/>
        <v>0</v>
      </c>
      <c r="AT25" s="29">
        <f t="shared" si="113"/>
        <v>0</v>
      </c>
      <c r="AU25" s="29">
        <f t="shared" si="113"/>
        <v>0</v>
      </c>
      <c r="AV25" s="29">
        <f t="shared" si="113"/>
        <v>0</v>
      </c>
      <c r="AW25" s="29">
        <f t="shared" si="113"/>
        <v>0</v>
      </c>
      <c r="AX25" s="29">
        <f t="shared" si="114"/>
        <v>0</v>
      </c>
      <c r="AY25" s="29">
        <f t="shared" si="114"/>
        <v>0</v>
      </c>
      <c r="AZ25" s="29">
        <f t="shared" si="114"/>
        <v>0</v>
      </c>
      <c r="BA25" s="29">
        <f t="shared" si="114"/>
        <v>0</v>
      </c>
      <c r="BB25" s="29">
        <f t="shared" si="114"/>
        <v>0</v>
      </c>
      <c r="BC25" s="29">
        <f t="shared" si="114"/>
        <v>0</v>
      </c>
      <c r="BD25" s="29">
        <f t="shared" si="114"/>
        <v>0</v>
      </c>
      <c r="BE25" s="29">
        <f t="shared" si="114"/>
        <v>0</v>
      </c>
      <c r="BF25" s="29">
        <f t="shared" si="114"/>
        <v>0</v>
      </c>
      <c r="BG25" s="29">
        <f t="shared" si="114"/>
        <v>0</v>
      </c>
      <c r="BH25" s="29">
        <f t="shared" si="115"/>
        <v>0</v>
      </c>
      <c r="BI25" s="29">
        <f t="shared" si="115"/>
        <v>0</v>
      </c>
      <c r="BJ25" s="29">
        <f t="shared" si="115"/>
        <v>0</v>
      </c>
      <c r="BK25" s="29">
        <f t="shared" si="115"/>
        <v>0</v>
      </c>
      <c r="BL25" s="29">
        <f t="shared" si="115"/>
        <v>0</v>
      </c>
      <c r="BM25" s="29">
        <f t="shared" si="115"/>
        <v>0</v>
      </c>
      <c r="BN25" s="29">
        <f t="shared" si="115"/>
        <v>0</v>
      </c>
      <c r="BO25" s="29">
        <f t="shared" si="115"/>
        <v>0</v>
      </c>
      <c r="BP25" s="29">
        <f t="shared" si="115"/>
        <v>0</v>
      </c>
      <c r="BQ25" s="29">
        <f t="shared" si="115"/>
        <v>0</v>
      </c>
      <c r="BR25" s="29">
        <f t="shared" si="116"/>
        <v>0</v>
      </c>
      <c r="BS25" s="29">
        <f t="shared" si="116"/>
        <v>0</v>
      </c>
      <c r="BT25" s="29">
        <f t="shared" si="116"/>
        <v>0</v>
      </c>
      <c r="BU25" s="29">
        <f t="shared" si="116"/>
        <v>0</v>
      </c>
      <c r="BV25" s="29">
        <f t="shared" si="116"/>
        <v>0</v>
      </c>
      <c r="BW25" s="29">
        <f t="shared" si="116"/>
        <v>0</v>
      </c>
      <c r="BX25" s="29">
        <f t="shared" si="116"/>
        <v>0</v>
      </c>
      <c r="BY25" s="29">
        <f t="shared" si="116"/>
        <v>0</v>
      </c>
      <c r="BZ25" s="29">
        <f t="shared" si="116"/>
        <v>0</v>
      </c>
      <c r="CA25" s="29">
        <f t="shared" si="116"/>
        <v>0</v>
      </c>
      <c r="CB25" s="29">
        <f t="shared" si="117"/>
        <v>0</v>
      </c>
      <c r="CC25" s="29">
        <f t="shared" si="117"/>
        <v>0</v>
      </c>
      <c r="CD25" s="29">
        <f t="shared" si="117"/>
        <v>0</v>
      </c>
      <c r="CE25" s="29">
        <f t="shared" si="117"/>
        <v>0</v>
      </c>
      <c r="CF25" s="29">
        <f t="shared" si="117"/>
        <v>0</v>
      </c>
      <c r="CG25" s="29">
        <f t="shared" si="117"/>
        <v>0</v>
      </c>
      <c r="CH25" s="29">
        <f t="shared" si="117"/>
        <v>0</v>
      </c>
      <c r="CI25" s="29">
        <f t="shared" si="117"/>
        <v>0</v>
      </c>
      <c r="CJ25" s="29">
        <f t="shared" si="117"/>
        <v>0</v>
      </c>
      <c r="CK25" s="29">
        <f t="shared" si="117"/>
        <v>0</v>
      </c>
      <c r="CL25" s="29">
        <f t="shared" si="118"/>
        <v>0</v>
      </c>
      <c r="CM25" s="29">
        <f t="shared" si="118"/>
        <v>0</v>
      </c>
      <c r="CN25" s="29">
        <f t="shared" si="118"/>
        <v>0</v>
      </c>
    </row>
    <row r="26" spans="2:92" ht="29" outlineLevel="1" x14ac:dyDescent="0.3">
      <c r="B26" s="30"/>
      <c r="C26" s="32" t="s">
        <v>35</v>
      </c>
      <c r="D26" s="35" t="s">
        <v>36</v>
      </c>
      <c r="E26" s="35" t="s">
        <v>15</v>
      </c>
      <c r="F26" s="33">
        <v>1</v>
      </c>
      <c r="G26" s="34">
        <v>45980</v>
      </c>
      <c r="H26" s="34">
        <v>45982</v>
      </c>
      <c r="I26" s="31"/>
      <c r="J26" s="29">
        <f t="shared" si="92"/>
        <v>0</v>
      </c>
      <c r="K26" s="29">
        <f t="shared" ref="K26:BU26" si="119">IF(AND(K$5&gt;=$G26,K$5&lt;=$H26,$E26="Meilenstein"),1)+IF(AND(K$5&gt;=$G26,K$5&lt;=$H26,$E26="Ziel"),2)</f>
        <v>0</v>
      </c>
      <c r="L26" s="29">
        <f t="shared" si="119"/>
        <v>0</v>
      </c>
      <c r="M26" s="29">
        <f t="shared" si="119"/>
        <v>0</v>
      </c>
      <c r="N26" s="29">
        <f t="shared" si="119"/>
        <v>0</v>
      </c>
      <c r="O26" s="29">
        <f t="shared" si="119"/>
        <v>0</v>
      </c>
      <c r="P26" s="29">
        <f t="shared" si="119"/>
        <v>0</v>
      </c>
      <c r="Q26" s="29">
        <f t="shared" si="119"/>
        <v>0</v>
      </c>
      <c r="R26" s="29">
        <f t="shared" si="119"/>
        <v>0</v>
      </c>
      <c r="S26" s="29">
        <f t="shared" si="119"/>
        <v>0</v>
      </c>
      <c r="T26" s="29">
        <f t="shared" si="119"/>
        <v>0</v>
      </c>
      <c r="U26" s="29">
        <f t="shared" si="119"/>
        <v>0</v>
      </c>
      <c r="V26" s="29">
        <f t="shared" si="119"/>
        <v>0</v>
      </c>
      <c r="W26" s="29">
        <f t="shared" si="119"/>
        <v>0</v>
      </c>
      <c r="X26" s="29">
        <f t="shared" si="119"/>
        <v>0</v>
      </c>
      <c r="Y26" s="29">
        <f t="shared" si="119"/>
        <v>0</v>
      </c>
      <c r="Z26" s="29">
        <f t="shared" si="119"/>
        <v>0</v>
      </c>
      <c r="AA26" s="29">
        <f t="shared" si="119"/>
        <v>0</v>
      </c>
      <c r="AB26" s="29">
        <f t="shared" si="119"/>
        <v>0</v>
      </c>
      <c r="AC26" s="29">
        <f t="shared" si="119"/>
        <v>0</v>
      </c>
      <c r="AD26" s="29">
        <f t="shared" si="119"/>
        <v>0</v>
      </c>
      <c r="AE26" s="29">
        <f t="shared" si="119"/>
        <v>0</v>
      </c>
      <c r="AF26" s="29">
        <f t="shared" si="119"/>
        <v>0</v>
      </c>
      <c r="AG26" s="29">
        <f t="shared" si="119"/>
        <v>0</v>
      </c>
      <c r="AH26" s="29">
        <f t="shared" si="119"/>
        <v>0</v>
      </c>
      <c r="AI26" s="29">
        <f t="shared" si="119"/>
        <v>0</v>
      </c>
      <c r="AJ26" s="29">
        <f t="shared" si="119"/>
        <v>0</v>
      </c>
      <c r="AK26" s="29">
        <f t="shared" si="119"/>
        <v>0</v>
      </c>
      <c r="AL26" s="29">
        <f t="shared" si="119"/>
        <v>0</v>
      </c>
      <c r="AM26" s="29">
        <f t="shared" si="119"/>
        <v>0</v>
      </c>
      <c r="AN26" s="29">
        <f t="shared" si="119"/>
        <v>0</v>
      </c>
      <c r="AO26" s="29">
        <f t="shared" si="119"/>
        <v>0</v>
      </c>
      <c r="AP26" s="29">
        <f t="shared" si="119"/>
        <v>0</v>
      </c>
      <c r="AQ26" s="29">
        <f t="shared" si="119"/>
        <v>0</v>
      </c>
      <c r="AR26" s="29">
        <f t="shared" si="119"/>
        <v>0</v>
      </c>
      <c r="AS26" s="29">
        <f t="shared" si="119"/>
        <v>0</v>
      </c>
      <c r="AT26" s="29">
        <f t="shared" si="119"/>
        <v>0</v>
      </c>
      <c r="AU26" s="29">
        <f t="shared" si="119"/>
        <v>0</v>
      </c>
      <c r="AV26" s="29">
        <f t="shared" si="119"/>
        <v>0</v>
      </c>
      <c r="AW26" s="29">
        <f t="shared" si="119"/>
        <v>0</v>
      </c>
      <c r="AX26" s="29">
        <f t="shared" si="119"/>
        <v>0</v>
      </c>
      <c r="AY26" s="29">
        <f t="shared" si="119"/>
        <v>0</v>
      </c>
      <c r="AZ26" s="29">
        <f t="shared" si="119"/>
        <v>0</v>
      </c>
      <c r="BA26" s="29">
        <f t="shared" si="119"/>
        <v>0</v>
      </c>
      <c r="BB26" s="29">
        <f t="shared" si="119"/>
        <v>0</v>
      </c>
      <c r="BC26" s="29">
        <f t="shared" si="119"/>
        <v>0</v>
      </c>
      <c r="BD26" s="29">
        <f t="shared" si="119"/>
        <v>0</v>
      </c>
      <c r="BE26" s="29">
        <f t="shared" si="119"/>
        <v>0</v>
      </c>
      <c r="BF26" s="29">
        <f t="shared" si="119"/>
        <v>0</v>
      </c>
      <c r="BG26" s="29">
        <f t="shared" si="119"/>
        <v>0</v>
      </c>
      <c r="BH26" s="29">
        <f t="shared" si="119"/>
        <v>0</v>
      </c>
      <c r="BI26" s="29">
        <f t="shared" si="119"/>
        <v>0</v>
      </c>
      <c r="BJ26" s="29">
        <f t="shared" si="119"/>
        <v>0</v>
      </c>
      <c r="BK26" s="29">
        <f t="shared" si="119"/>
        <v>0</v>
      </c>
      <c r="BL26" s="29">
        <f t="shared" si="119"/>
        <v>0</v>
      </c>
      <c r="BM26" s="29">
        <f t="shared" si="119"/>
        <v>0</v>
      </c>
      <c r="BN26" s="29">
        <f t="shared" si="119"/>
        <v>0</v>
      </c>
      <c r="BO26" s="29">
        <f t="shared" si="119"/>
        <v>0</v>
      </c>
      <c r="BP26" s="29">
        <f t="shared" si="119"/>
        <v>0</v>
      </c>
      <c r="BQ26" s="29">
        <f t="shared" si="119"/>
        <v>0</v>
      </c>
      <c r="BR26" s="29">
        <f t="shared" si="119"/>
        <v>0</v>
      </c>
      <c r="BS26" s="29">
        <f t="shared" si="119"/>
        <v>0</v>
      </c>
      <c r="BT26" s="29">
        <f t="shared" si="119"/>
        <v>0</v>
      </c>
      <c r="BU26" s="29">
        <f t="shared" si="119"/>
        <v>0</v>
      </c>
      <c r="BV26" s="29">
        <f t="shared" ref="BV26:CN26" si="120">IF(AND(BV$5&gt;=$G26,BV$5&lt;=$H26,$E26="Meilenstein"),1)+IF(AND(BV$5&gt;=$G26,BV$5&lt;=$H26,$E26="Ziel"),2)</f>
        <v>0</v>
      </c>
      <c r="BW26" s="29">
        <f t="shared" si="120"/>
        <v>0</v>
      </c>
      <c r="BX26" s="29">
        <f t="shared" si="120"/>
        <v>0</v>
      </c>
      <c r="BY26" s="29">
        <f t="shared" si="120"/>
        <v>0</v>
      </c>
      <c r="BZ26" s="29">
        <f t="shared" si="120"/>
        <v>0</v>
      </c>
      <c r="CA26" s="29">
        <f t="shared" si="120"/>
        <v>0</v>
      </c>
      <c r="CB26" s="29">
        <f t="shared" si="120"/>
        <v>0</v>
      </c>
      <c r="CC26" s="29">
        <f t="shared" si="120"/>
        <v>0</v>
      </c>
      <c r="CD26" s="29">
        <f t="shared" si="120"/>
        <v>0</v>
      </c>
      <c r="CE26" s="29">
        <f t="shared" si="120"/>
        <v>0</v>
      </c>
      <c r="CF26" s="29">
        <f t="shared" si="120"/>
        <v>0</v>
      </c>
      <c r="CG26" s="29">
        <f t="shared" si="120"/>
        <v>0</v>
      </c>
      <c r="CH26" s="29">
        <f t="shared" si="120"/>
        <v>0</v>
      </c>
      <c r="CI26" s="29">
        <f t="shared" si="120"/>
        <v>0</v>
      </c>
      <c r="CJ26" s="29">
        <f t="shared" si="120"/>
        <v>0</v>
      </c>
      <c r="CK26" s="29">
        <f t="shared" si="120"/>
        <v>0</v>
      </c>
      <c r="CL26" s="29">
        <f t="shared" si="120"/>
        <v>0</v>
      </c>
      <c r="CM26" s="29">
        <f t="shared" si="120"/>
        <v>0</v>
      </c>
      <c r="CN26" s="29">
        <f t="shared" si="120"/>
        <v>0</v>
      </c>
    </row>
    <row r="27" spans="2:92" ht="29" x14ac:dyDescent="0.3">
      <c r="B27" s="30"/>
      <c r="C27" s="32" t="s">
        <v>37</v>
      </c>
      <c r="D27" s="32" t="s">
        <v>36</v>
      </c>
      <c r="E27" s="32" t="s">
        <v>15</v>
      </c>
      <c r="F27" s="33">
        <v>1</v>
      </c>
      <c r="G27" s="34">
        <v>45985</v>
      </c>
      <c r="H27" s="34">
        <v>45987</v>
      </c>
      <c r="I27" s="31"/>
      <c r="J27" s="29">
        <f t="shared" ref="J27:S29" si="121">IF(AND(J$5&gt;=$G27,J$5&lt;=$H27,$E27="Meilenstein"),1)+IF(AND(J$5&gt;=$G27,J$5&lt;=$H27,$E27="Ziel"),2)</f>
        <v>0</v>
      </c>
      <c r="K27" s="29">
        <f t="shared" si="121"/>
        <v>0</v>
      </c>
      <c r="L27" s="29">
        <f t="shared" si="121"/>
        <v>0</v>
      </c>
      <c r="M27" s="29">
        <f t="shared" si="121"/>
        <v>0</v>
      </c>
      <c r="N27" s="29">
        <f t="shared" si="121"/>
        <v>0</v>
      </c>
      <c r="O27" s="29">
        <f t="shared" si="121"/>
        <v>0</v>
      </c>
      <c r="P27" s="29">
        <f t="shared" si="121"/>
        <v>0</v>
      </c>
      <c r="Q27" s="29">
        <f t="shared" si="121"/>
        <v>0</v>
      </c>
      <c r="R27" s="29">
        <f t="shared" si="121"/>
        <v>0</v>
      </c>
      <c r="S27" s="29">
        <f t="shared" si="121"/>
        <v>0</v>
      </c>
      <c r="T27" s="29">
        <f t="shared" ref="T27:AC29" si="122">IF(AND(T$5&gt;=$G27,T$5&lt;=$H27,$E27="Meilenstein"),1)+IF(AND(T$5&gt;=$G27,T$5&lt;=$H27,$E27="Ziel"),2)</f>
        <v>0</v>
      </c>
      <c r="U27" s="29">
        <f t="shared" si="122"/>
        <v>0</v>
      </c>
      <c r="V27" s="29">
        <f t="shared" si="122"/>
        <v>0</v>
      </c>
      <c r="W27" s="29">
        <f t="shared" si="122"/>
        <v>0</v>
      </c>
      <c r="X27" s="29">
        <f t="shared" si="122"/>
        <v>0</v>
      </c>
      <c r="Y27" s="29">
        <f t="shared" si="122"/>
        <v>0</v>
      </c>
      <c r="Z27" s="29">
        <f t="shared" si="122"/>
        <v>0</v>
      </c>
      <c r="AA27" s="29">
        <f t="shared" si="122"/>
        <v>0</v>
      </c>
      <c r="AB27" s="29">
        <f t="shared" si="122"/>
        <v>0</v>
      </c>
      <c r="AC27" s="29">
        <f t="shared" si="122"/>
        <v>0</v>
      </c>
      <c r="AD27" s="29">
        <f t="shared" ref="AD27:AM29" si="123">IF(AND(AD$5&gt;=$G27,AD$5&lt;=$H27,$E27="Meilenstein"),1)+IF(AND(AD$5&gt;=$G27,AD$5&lt;=$H27,$E27="Ziel"),2)</f>
        <v>0</v>
      </c>
      <c r="AE27" s="29">
        <f t="shared" si="123"/>
        <v>0</v>
      </c>
      <c r="AF27" s="29">
        <f t="shared" si="123"/>
        <v>0</v>
      </c>
      <c r="AG27" s="29">
        <f t="shared" si="123"/>
        <v>0</v>
      </c>
      <c r="AH27" s="29">
        <f t="shared" si="123"/>
        <v>0</v>
      </c>
      <c r="AI27" s="29">
        <f t="shared" si="123"/>
        <v>0</v>
      </c>
      <c r="AJ27" s="29">
        <f t="shared" si="123"/>
        <v>0</v>
      </c>
      <c r="AK27" s="29">
        <f t="shared" si="123"/>
        <v>0</v>
      </c>
      <c r="AL27" s="29">
        <f t="shared" si="123"/>
        <v>0</v>
      </c>
      <c r="AM27" s="29">
        <f t="shared" si="123"/>
        <v>0</v>
      </c>
      <c r="AN27" s="29">
        <f t="shared" ref="AN27:AW29" si="124">IF(AND(AN$5&gt;=$G27,AN$5&lt;=$H27,$E27="Meilenstein"),1)+IF(AND(AN$5&gt;=$G27,AN$5&lt;=$H27,$E27="Ziel"),2)</f>
        <v>0</v>
      </c>
      <c r="AO27" s="29">
        <f t="shared" si="124"/>
        <v>0</v>
      </c>
      <c r="AP27" s="29">
        <f t="shared" si="124"/>
        <v>0</v>
      </c>
      <c r="AQ27" s="29">
        <f t="shared" si="124"/>
        <v>0</v>
      </c>
      <c r="AR27" s="29">
        <f t="shared" si="124"/>
        <v>0</v>
      </c>
      <c r="AS27" s="29">
        <f t="shared" si="124"/>
        <v>0</v>
      </c>
      <c r="AT27" s="29">
        <f t="shared" si="124"/>
        <v>0</v>
      </c>
      <c r="AU27" s="29">
        <f t="shared" si="124"/>
        <v>0</v>
      </c>
      <c r="AV27" s="29">
        <f t="shared" si="124"/>
        <v>0</v>
      </c>
      <c r="AW27" s="29">
        <f t="shared" si="124"/>
        <v>0</v>
      </c>
      <c r="AX27" s="29">
        <f t="shared" ref="AX27:BG29" si="125">IF(AND(AX$5&gt;=$G27,AX$5&lt;=$H27,$E27="Meilenstein"),1)+IF(AND(AX$5&gt;=$G27,AX$5&lt;=$H27,$E27="Ziel"),2)</f>
        <v>0</v>
      </c>
      <c r="AY27" s="29">
        <f t="shared" si="125"/>
        <v>0</v>
      </c>
      <c r="AZ27" s="29">
        <f t="shared" si="125"/>
        <v>0</v>
      </c>
      <c r="BA27" s="29">
        <f t="shared" si="125"/>
        <v>0</v>
      </c>
      <c r="BB27" s="29">
        <f t="shared" si="125"/>
        <v>0</v>
      </c>
      <c r="BC27" s="29">
        <f t="shared" si="125"/>
        <v>0</v>
      </c>
      <c r="BD27" s="29">
        <f t="shared" si="125"/>
        <v>0</v>
      </c>
      <c r="BE27" s="29">
        <f t="shared" si="125"/>
        <v>0</v>
      </c>
      <c r="BF27" s="29">
        <f t="shared" si="125"/>
        <v>0</v>
      </c>
      <c r="BG27" s="29">
        <f t="shared" si="125"/>
        <v>0</v>
      </c>
      <c r="BH27" s="29">
        <f t="shared" ref="BH27:BQ29" si="126">IF(AND(BH$5&gt;=$G27,BH$5&lt;=$H27,$E27="Meilenstein"),1)+IF(AND(BH$5&gt;=$G27,BH$5&lt;=$H27,$E27="Ziel"),2)</f>
        <v>0</v>
      </c>
      <c r="BI27" s="29">
        <f t="shared" si="126"/>
        <v>0</v>
      </c>
      <c r="BJ27" s="29">
        <f t="shared" si="126"/>
        <v>0</v>
      </c>
      <c r="BK27" s="29">
        <f t="shared" si="126"/>
        <v>0</v>
      </c>
      <c r="BL27" s="29">
        <f t="shared" si="126"/>
        <v>0</v>
      </c>
      <c r="BM27" s="29">
        <f t="shared" si="126"/>
        <v>0</v>
      </c>
      <c r="BN27" s="29">
        <f t="shared" si="126"/>
        <v>0</v>
      </c>
      <c r="BO27" s="29">
        <f t="shared" si="126"/>
        <v>0</v>
      </c>
      <c r="BP27" s="29">
        <f t="shared" si="126"/>
        <v>0</v>
      </c>
      <c r="BQ27" s="29">
        <f t="shared" si="126"/>
        <v>0</v>
      </c>
      <c r="BR27" s="29">
        <f t="shared" ref="BR27:CA29" si="127">IF(AND(BR$5&gt;=$G27,BR$5&lt;=$H27,$E27="Meilenstein"),1)+IF(AND(BR$5&gt;=$G27,BR$5&lt;=$H27,$E27="Ziel"),2)</f>
        <v>0</v>
      </c>
      <c r="BS27" s="29">
        <f t="shared" si="127"/>
        <v>0</v>
      </c>
      <c r="BT27" s="29">
        <f t="shared" si="127"/>
        <v>0</v>
      </c>
      <c r="BU27" s="29">
        <f t="shared" si="127"/>
        <v>0</v>
      </c>
      <c r="BV27" s="29">
        <f t="shared" si="127"/>
        <v>0</v>
      </c>
      <c r="BW27" s="29">
        <f t="shared" si="127"/>
        <v>0</v>
      </c>
      <c r="BX27" s="29">
        <f t="shared" si="127"/>
        <v>0</v>
      </c>
      <c r="BY27" s="29">
        <f t="shared" si="127"/>
        <v>0</v>
      </c>
      <c r="BZ27" s="29">
        <f t="shared" si="127"/>
        <v>0</v>
      </c>
      <c r="CA27" s="29">
        <f t="shared" si="127"/>
        <v>0</v>
      </c>
      <c r="CB27" s="29">
        <f t="shared" ref="CB27:CK29" si="128">IF(AND(CB$5&gt;=$G27,CB$5&lt;=$H27,$E27="Meilenstein"),1)+IF(AND(CB$5&gt;=$G27,CB$5&lt;=$H27,$E27="Ziel"),2)</f>
        <v>0</v>
      </c>
      <c r="CC27" s="29">
        <f t="shared" si="128"/>
        <v>0</v>
      </c>
      <c r="CD27" s="29">
        <f t="shared" si="128"/>
        <v>0</v>
      </c>
      <c r="CE27" s="29">
        <f t="shared" si="128"/>
        <v>0</v>
      </c>
      <c r="CF27" s="29">
        <f t="shared" si="128"/>
        <v>0</v>
      </c>
      <c r="CG27" s="29">
        <f t="shared" si="128"/>
        <v>0</v>
      </c>
      <c r="CH27" s="29">
        <f t="shared" si="128"/>
        <v>0</v>
      </c>
      <c r="CI27" s="29">
        <f t="shared" si="128"/>
        <v>0</v>
      </c>
      <c r="CJ27" s="29">
        <f t="shared" si="128"/>
        <v>0</v>
      </c>
      <c r="CK27" s="29">
        <f t="shared" si="128"/>
        <v>0</v>
      </c>
      <c r="CL27" s="29">
        <f t="shared" ref="CL27:CN29" si="129">IF(AND(CL$5&gt;=$G27,CL$5&lt;=$H27,$E27="Meilenstein"),1)+IF(AND(CL$5&gt;=$G27,CL$5&lt;=$H27,$E27="Ziel"),2)</f>
        <v>0</v>
      </c>
      <c r="CM27" s="29">
        <f t="shared" si="129"/>
        <v>0</v>
      </c>
      <c r="CN27" s="29">
        <f t="shared" si="129"/>
        <v>0</v>
      </c>
    </row>
    <row r="28" spans="2:92" ht="43.5" outlineLevel="1" x14ac:dyDescent="0.3">
      <c r="B28" s="30"/>
      <c r="C28" s="32" t="s">
        <v>38</v>
      </c>
      <c r="D28" s="32" t="s">
        <v>36</v>
      </c>
      <c r="E28" s="32" t="s">
        <v>15</v>
      </c>
      <c r="F28" s="33">
        <v>1</v>
      </c>
      <c r="G28" s="34">
        <v>45987</v>
      </c>
      <c r="H28" s="34">
        <v>45994</v>
      </c>
      <c r="I28" s="31"/>
      <c r="J28" s="29">
        <f t="shared" si="121"/>
        <v>0</v>
      </c>
      <c r="K28" s="29">
        <f t="shared" si="121"/>
        <v>0</v>
      </c>
      <c r="L28" s="29">
        <f t="shared" si="121"/>
        <v>0</v>
      </c>
      <c r="M28" s="29">
        <f t="shared" si="121"/>
        <v>0</v>
      </c>
      <c r="N28" s="29">
        <f t="shared" si="121"/>
        <v>0</v>
      </c>
      <c r="O28" s="29">
        <f t="shared" si="121"/>
        <v>0</v>
      </c>
      <c r="P28" s="29">
        <f t="shared" si="121"/>
        <v>0</v>
      </c>
      <c r="Q28" s="29">
        <f t="shared" si="121"/>
        <v>0</v>
      </c>
      <c r="R28" s="29">
        <f t="shared" si="121"/>
        <v>0</v>
      </c>
      <c r="S28" s="29">
        <f t="shared" si="121"/>
        <v>0</v>
      </c>
      <c r="T28" s="29">
        <f t="shared" si="122"/>
        <v>0</v>
      </c>
      <c r="U28" s="29">
        <f t="shared" si="122"/>
        <v>0</v>
      </c>
      <c r="V28" s="29">
        <f t="shared" si="122"/>
        <v>0</v>
      </c>
      <c r="W28" s="29">
        <f t="shared" si="122"/>
        <v>0</v>
      </c>
      <c r="X28" s="29">
        <f t="shared" si="122"/>
        <v>0</v>
      </c>
      <c r="Y28" s="29">
        <f t="shared" si="122"/>
        <v>0</v>
      </c>
      <c r="Z28" s="29">
        <f t="shared" si="122"/>
        <v>0</v>
      </c>
      <c r="AA28" s="29">
        <f t="shared" si="122"/>
        <v>0</v>
      </c>
      <c r="AB28" s="29">
        <f t="shared" si="122"/>
        <v>0</v>
      </c>
      <c r="AC28" s="29">
        <f t="shared" si="122"/>
        <v>0</v>
      </c>
      <c r="AD28" s="29">
        <f t="shared" si="123"/>
        <v>0</v>
      </c>
      <c r="AE28" s="29">
        <f t="shared" si="123"/>
        <v>0</v>
      </c>
      <c r="AF28" s="29">
        <f t="shared" si="123"/>
        <v>0</v>
      </c>
      <c r="AG28" s="29">
        <f t="shared" si="123"/>
        <v>0</v>
      </c>
      <c r="AH28" s="29">
        <f t="shared" si="123"/>
        <v>0</v>
      </c>
      <c r="AI28" s="29">
        <f t="shared" si="123"/>
        <v>0</v>
      </c>
      <c r="AJ28" s="29">
        <f t="shared" si="123"/>
        <v>0</v>
      </c>
      <c r="AK28" s="29">
        <f t="shared" si="123"/>
        <v>0</v>
      </c>
      <c r="AL28" s="29">
        <f t="shared" si="123"/>
        <v>0</v>
      </c>
      <c r="AM28" s="29">
        <f t="shared" si="123"/>
        <v>0</v>
      </c>
      <c r="AN28" s="29">
        <f t="shared" si="124"/>
        <v>0</v>
      </c>
      <c r="AO28" s="29">
        <f t="shared" si="124"/>
        <v>0</v>
      </c>
      <c r="AP28" s="29">
        <f t="shared" si="124"/>
        <v>0</v>
      </c>
      <c r="AQ28" s="29">
        <f t="shared" si="124"/>
        <v>0</v>
      </c>
      <c r="AR28" s="29">
        <f t="shared" si="124"/>
        <v>0</v>
      </c>
      <c r="AS28" s="29">
        <f t="shared" si="124"/>
        <v>0</v>
      </c>
      <c r="AT28" s="29">
        <f t="shared" si="124"/>
        <v>0</v>
      </c>
      <c r="AU28" s="29">
        <f t="shared" si="124"/>
        <v>0</v>
      </c>
      <c r="AV28" s="29">
        <f t="shared" si="124"/>
        <v>0</v>
      </c>
      <c r="AW28" s="29">
        <f t="shared" si="124"/>
        <v>0</v>
      </c>
      <c r="AX28" s="29">
        <f t="shared" si="125"/>
        <v>0</v>
      </c>
      <c r="AY28" s="29">
        <f t="shared" si="125"/>
        <v>0</v>
      </c>
      <c r="AZ28" s="29">
        <f t="shared" si="125"/>
        <v>0</v>
      </c>
      <c r="BA28" s="29">
        <f t="shared" si="125"/>
        <v>0</v>
      </c>
      <c r="BB28" s="29">
        <f t="shared" si="125"/>
        <v>0</v>
      </c>
      <c r="BC28" s="29">
        <f t="shared" si="125"/>
        <v>0</v>
      </c>
      <c r="BD28" s="29">
        <f t="shared" si="125"/>
        <v>0</v>
      </c>
      <c r="BE28" s="29">
        <f t="shared" si="125"/>
        <v>0</v>
      </c>
      <c r="BF28" s="29">
        <f t="shared" si="125"/>
        <v>0</v>
      </c>
      <c r="BG28" s="29">
        <f t="shared" si="125"/>
        <v>0</v>
      </c>
      <c r="BH28" s="29">
        <f t="shared" si="126"/>
        <v>0</v>
      </c>
      <c r="BI28" s="29">
        <f t="shared" si="126"/>
        <v>0</v>
      </c>
      <c r="BJ28" s="29">
        <f t="shared" si="126"/>
        <v>0</v>
      </c>
      <c r="BK28" s="29">
        <f t="shared" si="126"/>
        <v>0</v>
      </c>
      <c r="BL28" s="29">
        <f t="shared" si="126"/>
        <v>0</v>
      </c>
      <c r="BM28" s="29">
        <f t="shared" si="126"/>
        <v>0</v>
      </c>
      <c r="BN28" s="29">
        <f t="shared" si="126"/>
        <v>0</v>
      </c>
      <c r="BO28" s="29">
        <f t="shared" si="126"/>
        <v>0</v>
      </c>
      <c r="BP28" s="29">
        <f t="shared" si="126"/>
        <v>0</v>
      </c>
      <c r="BQ28" s="29">
        <f t="shared" si="126"/>
        <v>0</v>
      </c>
      <c r="BR28" s="29">
        <f t="shared" si="127"/>
        <v>0</v>
      </c>
      <c r="BS28" s="29">
        <f t="shared" si="127"/>
        <v>0</v>
      </c>
      <c r="BT28" s="29">
        <f t="shared" si="127"/>
        <v>0</v>
      </c>
      <c r="BU28" s="29">
        <f t="shared" si="127"/>
        <v>0</v>
      </c>
      <c r="BV28" s="29">
        <f t="shared" si="127"/>
        <v>0</v>
      </c>
      <c r="BW28" s="29">
        <f t="shared" si="127"/>
        <v>0</v>
      </c>
      <c r="BX28" s="29">
        <f t="shared" si="127"/>
        <v>0</v>
      </c>
      <c r="BY28" s="29">
        <f t="shared" si="127"/>
        <v>0</v>
      </c>
      <c r="BZ28" s="29">
        <f t="shared" si="127"/>
        <v>0</v>
      </c>
      <c r="CA28" s="29">
        <f t="shared" si="127"/>
        <v>0</v>
      </c>
      <c r="CB28" s="29">
        <f t="shared" si="128"/>
        <v>0</v>
      </c>
      <c r="CC28" s="29">
        <f t="shared" si="128"/>
        <v>0</v>
      </c>
      <c r="CD28" s="29">
        <f t="shared" si="128"/>
        <v>0</v>
      </c>
      <c r="CE28" s="29">
        <f t="shared" si="128"/>
        <v>0</v>
      </c>
      <c r="CF28" s="29">
        <f t="shared" si="128"/>
        <v>0</v>
      </c>
      <c r="CG28" s="29">
        <f t="shared" si="128"/>
        <v>0</v>
      </c>
      <c r="CH28" s="29">
        <f t="shared" si="128"/>
        <v>0</v>
      </c>
      <c r="CI28" s="29">
        <f t="shared" si="128"/>
        <v>0</v>
      </c>
      <c r="CJ28" s="29">
        <f t="shared" si="128"/>
        <v>0</v>
      </c>
      <c r="CK28" s="29">
        <f t="shared" si="128"/>
        <v>0</v>
      </c>
      <c r="CL28" s="29">
        <f t="shared" si="129"/>
        <v>0</v>
      </c>
      <c r="CM28" s="29">
        <f t="shared" si="129"/>
        <v>0</v>
      </c>
      <c r="CN28" s="29">
        <f t="shared" si="129"/>
        <v>0</v>
      </c>
    </row>
    <row r="29" spans="2:92" ht="29" outlineLevel="1" x14ac:dyDescent="0.3">
      <c r="B29" s="30"/>
      <c r="C29" s="32" t="s">
        <v>39</v>
      </c>
      <c r="D29" s="32" t="s">
        <v>36</v>
      </c>
      <c r="E29" s="32" t="s">
        <v>15</v>
      </c>
      <c r="F29" s="33">
        <v>1</v>
      </c>
      <c r="G29" s="34">
        <v>45995</v>
      </c>
      <c r="H29" s="34">
        <v>45999</v>
      </c>
      <c r="I29" s="31"/>
      <c r="J29" s="29">
        <f t="shared" si="121"/>
        <v>0</v>
      </c>
      <c r="K29" s="29">
        <f t="shared" si="121"/>
        <v>0</v>
      </c>
      <c r="L29" s="29">
        <f t="shared" si="121"/>
        <v>0</v>
      </c>
      <c r="M29" s="29">
        <f t="shared" si="121"/>
        <v>0</v>
      </c>
      <c r="N29" s="29">
        <f t="shared" si="121"/>
        <v>0</v>
      </c>
      <c r="O29" s="29">
        <f t="shared" si="121"/>
        <v>0</v>
      </c>
      <c r="P29" s="29">
        <f t="shared" si="121"/>
        <v>0</v>
      </c>
      <c r="Q29" s="29">
        <f t="shared" si="121"/>
        <v>0</v>
      </c>
      <c r="R29" s="29">
        <f t="shared" si="121"/>
        <v>0</v>
      </c>
      <c r="S29" s="29">
        <f t="shared" si="121"/>
        <v>0</v>
      </c>
      <c r="T29" s="29">
        <f t="shared" si="122"/>
        <v>0</v>
      </c>
      <c r="U29" s="29">
        <f t="shared" si="122"/>
        <v>0</v>
      </c>
      <c r="V29" s="29">
        <f t="shared" si="122"/>
        <v>0</v>
      </c>
      <c r="W29" s="29">
        <f t="shared" si="122"/>
        <v>0</v>
      </c>
      <c r="X29" s="29">
        <f t="shared" si="122"/>
        <v>0</v>
      </c>
      <c r="Y29" s="29">
        <f t="shared" si="122"/>
        <v>0</v>
      </c>
      <c r="Z29" s="29">
        <f t="shared" si="122"/>
        <v>0</v>
      </c>
      <c r="AA29" s="29">
        <f t="shared" si="122"/>
        <v>0</v>
      </c>
      <c r="AB29" s="29">
        <f t="shared" si="122"/>
        <v>0</v>
      </c>
      <c r="AC29" s="29">
        <f t="shared" si="122"/>
        <v>0</v>
      </c>
      <c r="AD29" s="29">
        <f t="shared" si="123"/>
        <v>0</v>
      </c>
      <c r="AE29" s="29">
        <f t="shared" si="123"/>
        <v>0</v>
      </c>
      <c r="AF29" s="29">
        <f t="shared" si="123"/>
        <v>0</v>
      </c>
      <c r="AG29" s="29">
        <f t="shared" si="123"/>
        <v>0</v>
      </c>
      <c r="AH29" s="29">
        <f t="shared" si="123"/>
        <v>0</v>
      </c>
      <c r="AI29" s="29">
        <f t="shared" si="123"/>
        <v>0</v>
      </c>
      <c r="AJ29" s="29">
        <f t="shared" si="123"/>
        <v>0</v>
      </c>
      <c r="AK29" s="29">
        <f t="shared" si="123"/>
        <v>0</v>
      </c>
      <c r="AL29" s="29">
        <f t="shared" si="123"/>
        <v>0</v>
      </c>
      <c r="AM29" s="29">
        <f t="shared" si="123"/>
        <v>0</v>
      </c>
      <c r="AN29" s="29">
        <f t="shared" si="124"/>
        <v>0</v>
      </c>
      <c r="AO29" s="29">
        <f t="shared" si="124"/>
        <v>0</v>
      </c>
      <c r="AP29" s="29">
        <f t="shared" si="124"/>
        <v>0</v>
      </c>
      <c r="AQ29" s="29">
        <f t="shared" si="124"/>
        <v>0</v>
      </c>
      <c r="AR29" s="29">
        <f t="shared" si="124"/>
        <v>0</v>
      </c>
      <c r="AS29" s="29">
        <f t="shared" si="124"/>
        <v>0</v>
      </c>
      <c r="AT29" s="29">
        <f t="shared" si="124"/>
        <v>0</v>
      </c>
      <c r="AU29" s="29">
        <f t="shared" si="124"/>
        <v>0</v>
      </c>
      <c r="AV29" s="29">
        <f t="shared" si="124"/>
        <v>0</v>
      </c>
      <c r="AW29" s="29">
        <f t="shared" si="124"/>
        <v>0</v>
      </c>
      <c r="AX29" s="29">
        <f t="shared" si="125"/>
        <v>0</v>
      </c>
      <c r="AY29" s="29">
        <f t="shared" si="125"/>
        <v>0</v>
      </c>
      <c r="AZ29" s="29">
        <f t="shared" si="125"/>
        <v>0</v>
      </c>
      <c r="BA29" s="29">
        <f t="shared" si="125"/>
        <v>0</v>
      </c>
      <c r="BB29" s="29">
        <f t="shared" si="125"/>
        <v>0</v>
      </c>
      <c r="BC29" s="29">
        <f t="shared" si="125"/>
        <v>0</v>
      </c>
      <c r="BD29" s="29">
        <f t="shared" si="125"/>
        <v>0</v>
      </c>
      <c r="BE29" s="29">
        <f t="shared" si="125"/>
        <v>0</v>
      </c>
      <c r="BF29" s="29">
        <f t="shared" si="125"/>
        <v>0</v>
      </c>
      <c r="BG29" s="29">
        <f t="shared" si="125"/>
        <v>0</v>
      </c>
      <c r="BH29" s="29">
        <f t="shared" si="126"/>
        <v>0</v>
      </c>
      <c r="BI29" s="29">
        <f t="shared" si="126"/>
        <v>0</v>
      </c>
      <c r="BJ29" s="29">
        <f t="shared" si="126"/>
        <v>0</v>
      </c>
      <c r="BK29" s="29">
        <f t="shared" si="126"/>
        <v>0</v>
      </c>
      <c r="BL29" s="29">
        <f t="shared" si="126"/>
        <v>0</v>
      </c>
      <c r="BM29" s="29">
        <f t="shared" si="126"/>
        <v>0</v>
      </c>
      <c r="BN29" s="29">
        <f t="shared" si="126"/>
        <v>0</v>
      </c>
      <c r="BO29" s="29">
        <f t="shared" si="126"/>
        <v>0</v>
      </c>
      <c r="BP29" s="29">
        <f t="shared" si="126"/>
        <v>0</v>
      </c>
      <c r="BQ29" s="29">
        <f t="shared" si="126"/>
        <v>0</v>
      </c>
      <c r="BR29" s="29">
        <f t="shared" si="127"/>
        <v>0</v>
      </c>
      <c r="BS29" s="29">
        <f t="shared" si="127"/>
        <v>0</v>
      </c>
      <c r="BT29" s="29">
        <f t="shared" si="127"/>
        <v>0</v>
      </c>
      <c r="BU29" s="29">
        <f t="shared" si="127"/>
        <v>0</v>
      </c>
      <c r="BV29" s="29">
        <f t="shared" si="127"/>
        <v>0</v>
      </c>
      <c r="BW29" s="29">
        <f t="shared" si="127"/>
        <v>0</v>
      </c>
      <c r="BX29" s="29">
        <f t="shared" si="127"/>
        <v>0</v>
      </c>
      <c r="BY29" s="29">
        <f t="shared" si="127"/>
        <v>0</v>
      </c>
      <c r="BZ29" s="29">
        <f t="shared" si="127"/>
        <v>0</v>
      </c>
      <c r="CA29" s="29">
        <f t="shared" si="127"/>
        <v>0</v>
      </c>
      <c r="CB29" s="29">
        <f t="shared" si="128"/>
        <v>0</v>
      </c>
      <c r="CC29" s="29">
        <f t="shared" si="128"/>
        <v>0</v>
      </c>
      <c r="CD29" s="29">
        <f t="shared" si="128"/>
        <v>0</v>
      </c>
      <c r="CE29" s="29">
        <f t="shared" si="128"/>
        <v>0</v>
      </c>
      <c r="CF29" s="29">
        <f t="shared" si="128"/>
        <v>0</v>
      </c>
      <c r="CG29" s="29">
        <f t="shared" si="128"/>
        <v>0</v>
      </c>
      <c r="CH29" s="29">
        <f t="shared" si="128"/>
        <v>0</v>
      </c>
      <c r="CI29" s="29">
        <f t="shared" si="128"/>
        <v>0</v>
      </c>
      <c r="CJ29" s="29">
        <f t="shared" si="128"/>
        <v>0</v>
      </c>
      <c r="CK29" s="29">
        <f t="shared" si="128"/>
        <v>0</v>
      </c>
      <c r="CL29" s="29">
        <f t="shared" si="129"/>
        <v>0</v>
      </c>
      <c r="CM29" s="29">
        <f t="shared" si="129"/>
        <v>0</v>
      </c>
      <c r="CN29" s="29">
        <f t="shared" si="129"/>
        <v>0</v>
      </c>
    </row>
    <row r="30" spans="2:92" outlineLevel="1" x14ac:dyDescent="0.3">
      <c r="B30" s="30" t="s">
        <v>40</v>
      </c>
      <c r="C30" s="32"/>
      <c r="D30" s="32"/>
      <c r="E30" s="32"/>
      <c r="F30" s="33"/>
      <c r="G30" s="34"/>
      <c r="H30" s="34"/>
      <c r="I30" s="31"/>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row>
    <row r="31" spans="2:92" ht="29" outlineLevel="1" x14ac:dyDescent="0.3">
      <c r="B31" s="30"/>
      <c r="C31" s="32" t="s">
        <v>41</v>
      </c>
      <c r="D31" s="32" t="s">
        <v>30</v>
      </c>
      <c r="E31" s="32" t="s">
        <v>15</v>
      </c>
      <c r="F31" s="33">
        <v>1</v>
      </c>
      <c r="G31" s="34">
        <v>46000</v>
      </c>
      <c r="H31" s="34">
        <v>46007</v>
      </c>
      <c r="I31" s="31"/>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row>
    <row r="32" spans="2:92" ht="29" outlineLevel="1" x14ac:dyDescent="0.3">
      <c r="B32" s="30"/>
      <c r="C32" s="32" t="s">
        <v>42</v>
      </c>
      <c r="D32" s="32" t="s">
        <v>30</v>
      </c>
      <c r="E32" s="32" t="s">
        <v>15</v>
      </c>
      <c r="F32" s="33">
        <v>1</v>
      </c>
      <c r="G32" s="34">
        <v>46008</v>
      </c>
      <c r="H32" s="34">
        <v>46012</v>
      </c>
      <c r="I32" s="31"/>
      <c r="J32" s="29">
        <f t="shared" si="92"/>
        <v>0</v>
      </c>
      <c r="K32" s="29">
        <f t="shared" ref="K32:BU32" si="130">IF(AND(K$5&gt;=$G32,K$5&lt;=$H32,$E32="Meilenstein"),1)+IF(AND(K$5&gt;=$G32,K$5&lt;=$H32,$E32="Ziel"),2)</f>
        <v>0</v>
      </c>
      <c r="L32" s="29">
        <f t="shared" si="130"/>
        <v>0</v>
      </c>
      <c r="M32" s="29">
        <f t="shared" si="130"/>
        <v>0</v>
      </c>
      <c r="N32" s="29">
        <f t="shared" si="130"/>
        <v>0</v>
      </c>
      <c r="O32" s="29">
        <f t="shared" si="130"/>
        <v>0</v>
      </c>
      <c r="P32" s="29">
        <f t="shared" si="130"/>
        <v>0</v>
      </c>
      <c r="Q32" s="29">
        <f t="shared" si="130"/>
        <v>0</v>
      </c>
      <c r="R32" s="29">
        <f t="shared" si="130"/>
        <v>0</v>
      </c>
      <c r="S32" s="29">
        <f t="shared" si="130"/>
        <v>0</v>
      </c>
      <c r="T32" s="29">
        <f t="shared" si="130"/>
        <v>0</v>
      </c>
      <c r="U32" s="29">
        <f t="shared" si="130"/>
        <v>0</v>
      </c>
      <c r="V32" s="29">
        <f t="shared" si="130"/>
        <v>0</v>
      </c>
      <c r="W32" s="29">
        <f t="shared" si="130"/>
        <v>0</v>
      </c>
      <c r="X32" s="29">
        <f t="shared" si="130"/>
        <v>0</v>
      </c>
      <c r="Y32" s="29">
        <f t="shared" si="130"/>
        <v>0</v>
      </c>
      <c r="Z32" s="29">
        <f t="shared" si="130"/>
        <v>0</v>
      </c>
      <c r="AA32" s="29">
        <f t="shared" si="130"/>
        <v>0</v>
      </c>
      <c r="AB32" s="29">
        <f t="shared" si="130"/>
        <v>0</v>
      </c>
      <c r="AC32" s="29">
        <f t="shared" si="130"/>
        <v>0</v>
      </c>
      <c r="AD32" s="29">
        <f t="shared" si="130"/>
        <v>0</v>
      </c>
      <c r="AE32" s="29">
        <f t="shared" si="130"/>
        <v>0</v>
      </c>
      <c r="AF32" s="29">
        <f t="shared" si="130"/>
        <v>0</v>
      </c>
      <c r="AG32" s="29">
        <f t="shared" si="130"/>
        <v>0</v>
      </c>
      <c r="AH32" s="29">
        <f t="shared" si="130"/>
        <v>0</v>
      </c>
      <c r="AI32" s="29">
        <f t="shared" si="130"/>
        <v>0</v>
      </c>
      <c r="AJ32" s="29">
        <f t="shared" si="130"/>
        <v>0</v>
      </c>
      <c r="AK32" s="29">
        <f t="shared" si="130"/>
        <v>0</v>
      </c>
      <c r="AL32" s="29">
        <f t="shared" si="130"/>
        <v>0</v>
      </c>
      <c r="AM32" s="29">
        <f t="shared" si="130"/>
        <v>0</v>
      </c>
      <c r="AN32" s="29">
        <f t="shared" si="130"/>
        <v>0</v>
      </c>
      <c r="AO32" s="29">
        <f t="shared" si="130"/>
        <v>0</v>
      </c>
      <c r="AP32" s="29">
        <f t="shared" si="130"/>
        <v>0</v>
      </c>
      <c r="AQ32" s="29">
        <f t="shared" si="130"/>
        <v>0</v>
      </c>
      <c r="AR32" s="29">
        <f t="shared" si="130"/>
        <v>0</v>
      </c>
      <c r="AS32" s="29">
        <f t="shared" si="130"/>
        <v>0</v>
      </c>
      <c r="AT32" s="29">
        <f t="shared" si="130"/>
        <v>0</v>
      </c>
      <c r="AU32" s="29">
        <f t="shared" si="130"/>
        <v>0</v>
      </c>
      <c r="AV32" s="29">
        <f t="shared" si="130"/>
        <v>0</v>
      </c>
      <c r="AW32" s="29">
        <f t="shared" si="130"/>
        <v>0</v>
      </c>
      <c r="AX32" s="29">
        <f t="shared" si="130"/>
        <v>0</v>
      </c>
      <c r="AY32" s="29">
        <f t="shared" si="130"/>
        <v>0</v>
      </c>
      <c r="AZ32" s="29">
        <f t="shared" si="130"/>
        <v>0</v>
      </c>
      <c r="BA32" s="29">
        <f t="shared" si="130"/>
        <v>0</v>
      </c>
      <c r="BB32" s="29">
        <f t="shared" si="130"/>
        <v>0</v>
      </c>
      <c r="BC32" s="29">
        <f t="shared" si="130"/>
        <v>0</v>
      </c>
      <c r="BD32" s="29">
        <f t="shared" si="130"/>
        <v>0</v>
      </c>
      <c r="BE32" s="29">
        <f t="shared" si="130"/>
        <v>0</v>
      </c>
      <c r="BF32" s="29">
        <f t="shared" si="130"/>
        <v>0</v>
      </c>
      <c r="BG32" s="29">
        <f t="shared" si="130"/>
        <v>0</v>
      </c>
      <c r="BH32" s="29">
        <f t="shared" si="130"/>
        <v>0</v>
      </c>
      <c r="BI32" s="29">
        <f t="shared" si="130"/>
        <v>0</v>
      </c>
      <c r="BJ32" s="29">
        <f t="shared" si="130"/>
        <v>0</v>
      </c>
      <c r="BK32" s="29">
        <f t="shared" si="130"/>
        <v>0</v>
      </c>
      <c r="BL32" s="29">
        <f t="shared" si="130"/>
        <v>0</v>
      </c>
      <c r="BM32" s="29">
        <f t="shared" si="130"/>
        <v>0</v>
      </c>
      <c r="BN32" s="29">
        <f t="shared" si="130"/>
        <v>0</v>
      </c>
      <c r="BO32" s="29">
        <f t="shared" si="130"/>
        <v>0</v>
      </c>
      <c r="BP32" s="29">
        <f t="shared" si="130"/>
        <v>0</v>
      </c>
      <c r="BQ32" s="29">
        <f t="shared" si="130"/>
        <v>0</v>
      </c>
      <c r="BR32" s="29">
        <f t="shared" si="130"/>
        <v>0</v>
      </c>
      <c r="BS32" s="29">
        <f t="shared" si="130"/>
        <v>0</v>
      </c>
      <c r="BT32" s="29">
        <f t="shared" si="130"/>
        <v>0</v>
      </c>
      <c r="BU32" s="29">
        <f t="shared" si="130"/>
        <v>0</v>
      </c>
      <c r="BV32" s="29">
        <f t="shared" ref="BV32:CN35" si="131">IF(AND(BV$5&gt;=$G32,BV$5&lt;=$H32,$E32="Meilenstein"),1)+IF(AND(BV$5&gt;=$G32,BV$5&lt;=$H32,$E32="Ziel"),2)</f>
        <v>0</v>
      </c>
      <c r="BW32" s="29">
        <f t="shared" si="131"/>
        <v>0</v>
      </c>
      <c r="BX32" s="29">
        <f t="shared" si="131"/>
        <v>0</v>
      </c>
      <c r="BY32" s="29">
        <f t="shared" si="131"/>
        <v>0</v>
      </c>
      <c r="BZ32" s="29">
        <f t="shared" si="131"/>
        <v>0</v>
      </c>
      <c r="CA32" s="29">
        <f t="shared" si="131"/>
        <v>0</v>
      </c>
      <c r="CB32" s="29">
        <f t="shared" si="131"/>
        <v>0</v>
      </c>
      <c r="CC32" s="29">
        <f t="shared" si="131"/>
        <v>0</v>
      </c>
      <c r="CD32" s="29">
        <f t="shared" si="131"/>
        <v>0</v>
      </c>
      <c r="CE32" s="29">
        <f t="shared" si="131"/>
        <v>0</v>
      </c>
      <c r="CF32" s="29">
        <f t="shared" si="131"/>
        <v>0</v>
      </c>
      <c r="CG32" s="29">
        <f t="shared" si="131"/>
        <v>0</v>
      </c>
      <c r="CH32" s="29">
        <f t="shared" si="131"/>
        <v>0</v>
      </c>
      <c r="CI32" s="29">
        <f t="shared" si="131"/>
        <v>0</v>
      </c>
      <c r="CJ32" s="29">
        <f t="shared" si="131"/>
        <v>0</v>
      </c>
      <c r="CK32" s="29">
        <f t="shared" si="131"/>
        <v>0</v>
      </c>
      <c r="CL32" s="29">
        <f t="shared" si="131"/>
        <v>0</v>
      </c>
      <c r="CM32" s="29">
        <f t="shared" si="131"/>
        <v>0</v>
      </c>
      <c r="CN32" s="29">
        <f t="shared" si="131"/>
        <v>0</v>
      </c>
    </row>
    <row r="33" spans="2:92" ht="29" outlineLevel="1" x14ac:dyDescent="0.3">
      <c r="B33" s="30"/>
      <c r="C33" s="32" t="s">
        <v>43</v>
      </c>
      <c r="D33" s="32" t="s">
        <v>36</v>
      </c>
      <c r="E33" s="32" t="s">
        <v>15</v>
      </c>
      <c r="F33" s="33">
        <v>1</v>
      </c>
      <c r="G33" s="34">
        <v>46025</v>
      </c>
      <c r="H33" s="34">
        <v>46028</v>
      </c>
      <c r="I33" s="31"/>
      <c r="J33" s="29">
        <f t="shared" si="92"/>
        <v>0</v>
      </c>
      <c r="K33" s="29">
        <f t="shared" ref="K33:BV36" si="132">IF(AND(K$5&gt;=$G33,K$5&lt;=$H33,$E33="Meilenstein"),1)+IF(AND(K$5&gt;=$G33,K$5&lt;=$H33,$E33="Ziel"),2)</f>
        <v>0</v>
      </c>
      <c r="L33" s="29">
        <f t="shared" si="132"/>
        <v>0</v>
      </c>
      <c r="M33" s="29">
        <f t="shared" si="132"/>
        <v>0</v>
      </c>
      <c r="N33" s="29">
        <f t="shared" si="132"/>
        <v>0</v>
      </c>
      <c r="O33" s="29">
        <f t="shared" si="132"/>
        <v>0</v>
      </c>
      <c r="P33" s="29">
        <f t="shared" si="132"/>
        <v>0</v>
      </c>
      <c r="Q33" s="29">
        <f t="shared" si="132"/>
        <v>0</v>
      </c>
      <c r="R33" s="29">
        <f t="shared" si="132"/>
        <v>0</v>
      </c>
      <c r="S33" s="29">
        <f t="shared" si="132"/>
        <v>0</v>
      </c>
      <c r="T33" s="29">
        <f t="shared" si="132"/>
        <v>0</v>
      </c>
      <c r="U33" s="29">
        <f t="shared" si="132"/>
        <v>0</v>
      </c>
      <c r="V33" s="29">
        <f t="shared" si="132"/>
        <v>0</v>
      </c>
      <c r="W33" s="29">
        <f t="shared" si="132"/>
        <v>0</v>
      </c>
      <c r="X33" s="29">
        <f t="shared" si="132"/>
        <v>0</v>
      </c>
      <c r="Y33" s="29">
        <f t="shared" si="132"/>
        <v>0</v>
      </c>
      <c r="Z33" s="29">
        <f t="shared" si="132"/>
        <v>0</v>
      </c>
      <c r="AA33" s="29">
        <f t="shared" si="132"/>
        <v>0</v>
      </c>
      <c r="AB33" s="29">
        <f t="shared" si="132"/>
        <v>0</v>
      </c>
      <c r="AC33" s="29">
        <f t="shared" si="132"/>
        <v>0</v>
      </c>
      <c r="AD33" s="29">
        <f t="shared" si="132"/>
        <v>0</v>
      </c>
      <c r="AE33" s="29">
        <f t="shared" si="132"/>
        <v>0</v>
      </c>
      <c r="AF33" s="29">
        <f t="shared" si="132"/>
        <v>0</v>
      </c>
      <c r="AG33" s="29">
        <f t="shared" si="132"/>
        <v>0</v>
      </c>
      <c r="AH33" s="29">
        <f t="shared" si="132"/>
        <v>0</v>
      </c>
      <c r="AI33" s="29">
        <f t="shared" si="132"/>
        <v>0</v>
      </c>
      <c r="AJ33" s="29">
        <f t="shared" si="132"/>
        <v>0</v>
      </c>
      <c r="AK33" s="29">
        <f t="shared" si="132"/>
        <v>0</v>
      </c>
      <c r="AL33" s="29">
        <f t="shared" si="132"/>
        <v>0</v>
      </c>
      <c r="AM33" s="29">
        <f t="shared" si="132"/>
        <v>0</v>
      </c>
      <c r="AN33" s="29">
        <f t="shared" si="132"/>
        <v>0</v>
      </c>
      <c r="AO33" s="29">
        <f t="shared" si="132"/>
        <v>0</v>
      </c>
      <c r="AP33" s="29">
        <f t="shared" si="132"/>
        <v>0</v>
      </c>
      <c r="AQ33" s="29">
        <f t="shared" si="132"/>
        <v>0</v>
      </c>
      <c r="AR33" s="29">
        <f t="shared" si="132"/>
        <v>0</v>
      </c>
      <c r="AS33" s="29">
        <f t="shared" si="132"/>
        <v>0</v>
      </c>
      <c r="AT33" s="29">
        <f t="shared" si="132"/>
        <v>0</v>
      </c>
      <c r="AU33" s="29">
        <f t="shared" si="132"/>
        <v>0</v>
      </c>
      <c r="AV33" s="29">
        <f t="shared" si="132"/>
        <v>0</v>
      </c>
      <c r="AW33" s="29">
        <f t="shared" si="132"/>
        <v>0</v>
      </c>
      <c r="AX33" s="29">
        <f t="shared" si="132"/>
        <v>0</v>
      </c>
      <c r="AY33" s="29">
        <f t="shared" si="132"/>
        <v>0</v>
      </c>
      <c r="AZ33" s="29">
        <f t="shared" si="132"/>
        <v>0</v>
      </c>
      <c r="BA33" s="29">
        <f t="shared" si="132"/>
        <v>0</v>
      </c>
      <c r="BB33" s="29">
        <f t="shared" si="132"/>
        <v>0</v>
      </c>
      <c r="BC33" s="29">
        <f t="shared" si="132"/>
        <v>0</v>
      </c>
      <c r="BD33" s="29">
        <f t="shared" si="132"/>
        <v>0</v>
      </c>
      <c r="BE33" s="29">
        <f t="shared" si="132"/>
        <v>0</v>
      </c>
      <c r="BF33" s="29">
        <f t="shared" si="132"/>
        <v>0</v>
      </c>
      <c r="BG33" s="29">
        <f t="shared" si="132"/>
        <v>0</v>
      </c>
      <c r="BH33" s="29">
        <f t="shared" si="132"/>
        <v>0</v>
      </c>
      <c r="BI33" s="29">
        <f t="shared" si="132"/>
        <v>0</v>
      </c>
      <c r="BJ33" s="29">
        <f t="shared" si="132"/>
        <v>0</v>
      </c>
      <c r="BK33" s="29">
        <f t="shared" si="132"/>
        <v>0</v>
      </c>
      <c r="BL33" s="29">
        <f t="shared" si="132"/>
        <v>0</v>
      </c>
      <c r="BM33" s="29">
        <f t="shared" si="132"/>
        <v>0</v>
      </c>
      <c r="BN33" s="29">
        <f t="shared" si="132"/>
        <v>0</v>
      </c>
      <c r="BO33" s="29">
        <f t="shared" si="132"/>
        <v>0</v>
      </c>
      <c r="BP33" s="29">
        <f t="shared" si="132"/>
        <v>0</v>
      </c>
      <c r="BQ33" s="29">
        <f t="shared" si="132"/>
        <v>0</v>
      </c>
      <c r="BR33" s="29">
        <f t="shared" si="132"/>
        <v>0</v>
      </c>
      <c r="BS33" s="29">
        <f t="shared" si="132"/>
        <v>0</v>
      </c>
      <c r="BT33" s="29">
        <f t="shared" si="132"/>
        <v>0</v>
      </c>
      <c r="BU33" s="29">
        <f t="shared" si="132"/>
        <v>0</v>
      </c>
      <c r="BV33" s="29">
        <f t="shared" si="132"/>
        <v>0</v>
      </c>
      <c r="BW33" s="29">
        <f t="shared" si="131"/>
        <v>0</v>
      </c>
      <c r="BX33" s="29">
        <f t="shared" si="131"/>
        <v>0</v>
      </c>
      <c r="BY33" s="29">
        <f t="shared" si="131"/>
        <v>0</v>
      </c>
      <c r="BZ33" s="29">
        <f t="shared" si="131"/>
        <v>0</v>
      </c>
      <c r="CA33" s="29">
        <f t="shared" si="131"/>
        <v>0</v>
      </c>
      <c r="CB33" s="29">
        <f t="shared" si="131"/>
        <v>0</v>
      </c>
      <c r="CC33" s="29">
        <f t="shared" si="131"/>
        <v>0</v>
      </c>
      <c r="CD33" s="29">
        <f t="shared" si="131"/>
        <v>0</v>
      </c>
      <c r="CE33" s="29">
        <f t="shared" si="131"/>
        <v>0</v>
      </c>
      <c r="CF33" s="29">
        <f t="shared" si="131"/>
        <v>0</v>
      </c>
      <c r="CG33" s="29">
        <f t="shared" si="131"/>
        <v>0</v>
      </c>
      <c r="CH33" s="29">
        <f t="shared" si="131"/>
        <v>0</v>
      </c>
      <c r="CI33" s="29">
        <f t="shared" si="131"/>
        <v>0</v>
      </c>
      <c r="CJ33" s="29">
        <f t="shared" si="131"/>
        <v>0</v>
      </c>
      <c r="CK33" s="29">
        <f t="shared" si="131"/>
        <v>0</v>
      </c>
      <c r="CL33" s="29">
        <f t="shared" si="131"/>
        <v>0</v>
      </c>
      <c r="CM33" s="29">
        <f t="shared" si="131"/>
        <v>0</v>
      </c>
      <c r="CN33" s="29">
        <f t="shared" si="131"/>
        <v>0</v>
      </c>
    </row>
    <row r="34" spans="2:92" ht="29" outlineLevel="1" x14ac:dyDescent="0.3">
      <c r="B34" s="30"/>
      <c r="C34" s="32" t="s">
        <v>44</v>
      </c>
      <c r="D34" s="32" t="s">
        <v>30</v>
      </c>
      <c r="E34" s="32" t="s">
        <v>15</v>
      </c>
      <c r="F34" s="33">
        <v>1</v>
      </c>
      <c r="G34" s="34">
        <v>46030</v>
      </c>
      <c r="H34" s="34">
        <v>46040</v>
      </c>
      <c r="I34" s="31"/>
      <c r="J34" s="29">
        <f t="shared" si="92"/>
        <v>0</v>
      </c>
      <c r="K34" s="29">
        <f t="shared" si="132"/>
        <v>0</v>
      </c>
      <c r="L34" s="29">
        <f t="shared" si="132"/>
        <v>0</v>
      </c>
      <c r="M34" s="29">
        <f t="shared" si="132"/>
        <v>0</v>
      </c>
      <c r="N34" s="29">
        <f t="shared" si="132"/>
        <v>0</v>
      </c>
      <c r="O34" s="29">
        <f t="shared" si="132"/>
        <v>0</v>
      </c>
      <c r="P34" s="29">
        <f t="shared" si="132"/>
        <v>0</v>
      </c>
      <c r="Q34" s="29">
        <f t="shared" si="132"/>
        <v>0</v>
      </c>
      <c r="R34" s="29">
        <f t="shared" si="132"/>
        <v>0</v>
      </c>
      <c r="S34" s="29">
        <f t="shared" si="132"/>
        <v>0</v>
      </c>
      <c r="T34" s="29">
        <f t="shared" si="132"/>
        <v>0</v>
      </c>
      <c r="U34" s="29">
        <f t="shared" si="132"/>
        <v>0</v>
      </c>
      <c r="V34" s="29">
        <f t="shared" si="132"/>
        <v>0</v>
      </c>
      <c r="W34" s="29">
        <f t="shared" si="132"/>
        <v>0</v>
      </c>
      <c r="X34" s="29">
        <f t="shared" si="132"/>
        <v>0</v>
      </c>
      <c r="Y34" s="29">
        <f t="shared" si="132"/>
        <v>0</v>
      </c>
      <c r="Z34" s="29">
        <f t="shared" si="132"/>
        <v>0</v>
      </c>
      <c r="AA34" s="29">
        <f t="shared" si="132"/>
        <v>0</v>
      </c>
      <c r="AB34" s="29">
        <f t="shared" si="132"/>
        <v>0</v>
      </c>
      <c r="AC34" s="29">
        <f t="shared" si="132"/>
        <v>0</v>
      </c>
      <c r="AD34" s="29">
        <f t="shared" si="132"/>
        <v>0</v>
      </c>
      <c r="AE34" s="29">
        <f t="shared" si="132"/>
        <v>0</v>
      </c>
      <c r="AF34" s="29">
        <f t="shared" si="132"/>
        <v>0</v>
      </c>
      <c r="AG34" s="29">
        <f t="shared" si="132"/>
        <v>0</v>
      </c>
      <c r="AH34" s="29">
        <f t="shared" si="132"/>
        <v>0</v>
      </c>
      <c r="AI34" s="29">
        <f t="shared" si="132"/>
        <v>0</v>
      </c>
      <c r="AJ34" s="29">
        <f t="shared" si="132"/>
        <v>0</v>
      </c>
      <c r="AK34" s="29">
        <f t="shared" si="132"/>
        <v>0</v>
      </c>
      <c r="AL34" s="29">
        <f t="shared" si="132"/>
        <v>0</v>
      </c>
      <c r="AM34" s="29">
        <f t="shared" si="132"/>
        <v>0</v>
      </c>
      <c r="AN34" s="29">
        <f t="shared" si="132"/>
        <v>0</v>
      </c>
      <c r="AO34" s="29">
        <f t="shared" si="132"/>
        <v>0</v>
      </c>
      <c r="AP34" s="29">
        <f t="shared" si="132"/>
        <v>0</v>
      </c>
      <c r="AQ34" s="29">
        <f t="shared" si="132"/>
        <v>0</v>
      </c>
      <c r="AR34" s="29">
        <f t="shared" si="132"/>
        <v>0</v>
      </c>
      <c r="AS34" s="29">
        <f t="shared" si="132"/>
        <v>0</v>
      </c>
      <c r="AT34" s="29">
        <f t="shared" si="132"/>
        <v>0</v>
      </c>
      <c r="AU34" s="29">
        <f t="shared" si="132"/>
        <v>0</v>
      </c>
      <c r="AV34" s="29">
        <f t="shared" si="132"/>
        <v>0</v>
      </c>
      <c r="AW34" s="29">
        <f t="shared" si="132"/>
        <v>0</v>
      </c>
      <c r="AX34" s="29">
        <f t="shared" si="132"/>
        <v>0</v>
      </c>
      <c r="AY34" s="29">
        <f t="shared" si="132"/>
        <v>0</v>
      </c>
      <c r="AZ34" s="29">
        <f t="shared" si="132"/>
        <v>0</v>
      </c>
      <c r="BA34" s="29">
        <f t="shared" si="132"/>
        <v>0</v>
      </c>
      <c r="BB34" s="29">
        <f t="shared" si="132"/>
        <v>0</v>
      </c>
      <c r="BC34" s="29">
        <f t="shared" si="132"/>
        <v>0</v>
      </c>
      <c r="BD34" s="29">
        <f t="shared" si="132"/>
        <v>0</v>
      </c>
      <c r="BE34" s="29">
        <f t="shared" si="132"/>
        <v>0</v>
      </c>
      <c r="BF34" s="29">
        <f t="shared" si="132"/>
        <v>0</v>
      </c>
      <c r="BG34" s="29">
        <f t="shared" si="132"/>
        <v>0</v>
      </c>
      <c r="BH34" s="29">
        <f t="shared" si="132"/>
        <v>0</v>
      </c>
      <c r="BI34" s="29">
        <f t="shared" si="132"/>
        <v>0</v>
      </c>
      <c r="BJ34" s="29">
        <f t="shared" si="132"/>
        <v>0</v>
      </c>
      <c r="BK34" s="29">
        <f t="shared" si="132"/>
        <v>0</v>
      </c>
      <c r="BL34" s="29">
        <f t="shared" si="132"/>
        <v>0</v>
      </c>
      <c r="BM34" s="29">
        <f t="shared" si="132"/>
        <v>0</v>
      </c>
      <c r="BN34" s="29">
        <f t="shared" si="132"/>
        <v>0</v>
      </c>
      <c r="BO34" s="29">
        <f t="shared" si="132"/>
        <v>0</v>
      </c>
      <c r="BP34" s="29">
        <f t="shared" si="132"/>
        <v>0</v>
      </c>
      <c r="BQ34" s="29">
        <f t="shared" si="132"/>
        <v>0</v>
      </c>
      <c r="BR34" s="29">
        <f t="shared" si="132"/>
        <v>0</v>
      </c>
      <c r="BS34" s="29">
        <f t="shared" si="132"/>
        <v>0</v>
      </c>
      <c r="BT34" s="29">
        <f t="shared" si="132"/>
        <v>0</v>
      </c>
      <c r="BU34" s="29">
        <f t="shared" si="132"/>
        <v>0</v>
      </c>
      <c r="BV34" s="29">
        <f t="shared" si="132"/>
        <v>0</v>
      </c>
      <c r="BW34" s="29">
        <f t="shared" si="131"/>
        <v>0</v>
      </c>
      <c r="BX34" s="29">
        <f t="shared" si="131"/>
        <v>0</v>
      </c>
      <c r="BY34" s="29">
        <f t="shared" si="131"/>
        <v>0</v>
      </c>
      <c r="BZ34" s="29">
        <f t="shared" si="131"/>
        <v>0</v>
      </c>
      <c r="CA34" s="29">
        <f t="shared" si="131"/>
        <v>0</v>
      </c>
      <c r="CB34" s="29">
        <f t="shared" si="131"/>
        <v>0</v>
      </c>
      <c r="CC34" s="29">
        <f t="shared" si="131"/>
        <v>0</v>
      </c>
      <c r="CD34" s="29">
        <f t="shared" si="131"/>
        <v>0</v>
      </c>
      <c r="CE34" s="29">
        <f t="shared" si="131"/>
        <v>0</v>
      </c>
      <c r="CF34" s="29">
        <f t="shared" si="131"/>
        <v>0</v>
      </c>
      <c r="CG34" s="29">
        <f t="shared" si="131"/>
        <v>0</v>
      </c>
      <c r="CH34" s="29">
        <f t="shared" si="131"/>
        <v>0</v>
      </c>
      <c r="CI34" s="29">
        <f t="shared" si="131"/>
        <v>0</v>
      </c>
      <c r="CJ34" s="29">
        <f t="shared" si="131"/>
        <v>0</v>
      </c>
      <c r="CK34" s="29">
        <f t="shared" si="131"/>
        <v>0</v>
      </c>
      <c r="CL34" s="29">
        <f t="shared" si="131"/>
        <v>0</v>
      </c>
      <c r="CM34" s="29">
        <f t="shared" si="131"/>
        <v>0</v>
      </c>
      <c r="CN34" s="29">
        <f t="shared" si="131"/>
        <v>0</v>
      </c>
    </row>
    <row r="35" spans="2:92" ht="29" outlineLevel="1" x14ac:dyDescent="0.3">
      <c r="B35" s="30"/>
      <c r="C35" s="32" t="s">
        <v>45</v>
      </c>
      <c r="D35" s="32" t="s">
        <v>46</v>
      </c>
      <c r="E35" s="32" t="s">
        <v>15</v>
      </c>
      <c r="F35" s="33">
        <v>1</v>
      </c>
      <c r="G35" s="34">
        <v>46034</v>
      </c>
      <c r="H35" s="34">
        <v>46041</v>
      </c>
      <c r="I35" s="31"/>
      <c r="J35" s="29">
        <f t="shared" si="92"/>
        <v>0</v>
      </c>
      <c r="K35" s="29">
        <f t="shared" si="132"/>
        <v>0</v>
      </c>
      <c r="L35" s="29">
        <f t="shared" si="132"/>
        <v>0</v>
      </c>
      <c r="M35" s="29">
        <f t="shared" si="132"/>
        <v>0</v>
      </c>
      <c r="N35" s="29">
        <f t="shared" si="132"/>
        <v>0</v>
      </c>
      <c r="O35" s="29">
        <f t="shared" si="132"/>
        <v>0</v>
      </c>
      <c r="P35" s="29">
        <f t="shared" si="132"/>
        <v>0</v>
      </c>
      <c r="Q35" s="29">
        <f t="shared" si="132"/>
        <v>0</v>
      </c>
      <c r="R35" s="29">
        <f t="shared" si="132"/>
        <v>0</v>
      </c>
      <c r="S35" s="29">
        <f t="shared" si="132"/>
        <v>0</v>
      </c>
      <c r="T35" s="29">
        <f t="shared" si="132"/>
        <v>0</v>
      </c>
      <c r="U35" s="29">
        <f t="shared" si="132"/>
        <v>0</v>
      </c>
      <c r="V35" s="29">
        <f t="shared" si="132"/>
        <v>0</v>
      </c>
      <c r="W35" s="29">
        <f t="shared" si="132"/>
        <v>0</v>
      </c>
      <c r="X35" s="29">
        <f t="shared" si="132"/>
        <v>0</v>
      </c>
      <c r="Y35" s="29">
        <f t="shared" si="132"/>
        <v>0</v>
      </c>
      <c r="Z35" s="29">
        <f t="shared" si="132"/>
        <v>0</v>
      </c>
      <c r="AA35" s="29">
        <f t="shared" si="132"/>
        <v>0</v>
      </c>
      <c r="AB35" s="29">
        <f t="shared" si="132"/>
        <v>0</v>
      </c>
      <c r="AC35" s="29">
        <f t="shared" si="132"/>
        <v>0</v>
      </c>
      <c r="AD35" s="29">
        <f t="shared" si="132"/>
        <v>0</v>
      </c>
      <c r="AE35" s="29">
        <f t="shared" si="132"/>
        <v>0</v>
      </c>
      <c r="AF35" s="29">
        <f t="shared" si="132"/>
        <v>0</v>
      </c>
      <c r="AG35" s="29">
        <f t="shared" si="132"/>
        <v>0</v>
      </c>
      <c r="AH35" s="29">
        <f t="shared" si="132"/>
        <v>0</v>
      </c>
      <c r="AI35" s="29">
        <f t="shared" si="132"/>
        <v>0</v>
      </c>
      <c r="AJ35" s="29">
        <f t="shared" si="132"/>
        <v>0</v>
      </c>
      <c r="AK35" s="29">
        <f t="shared" si="132"/>
        <v>0</v>
      </c>
      <c r="AL35" s="29">
        <f t="shared" si="132"/>
        <v>0</v>
      </c>
      <c r="AM35" s="29">
        <f t="shared" si="132"/>
        <v>0</v>
      </c>
      <c r="AN35" s="29">
        <f t="shared" si="132"/>
        <v>0</v>
      </c>
      <c r="AO35" s="29">
        <f t="shared" si="132"/>
        <v>0</v>
      </c>
      <c r="AP35" s="29">
        <f t="shared" si="132"/>
        <v>0</v>
      </c>
      <c r="AQ35" s="29">
        <f t="shared" si="132"/>
        <v>0</v>
      </c>
      <c r="AR35" s="29">
        <f t="shared" si="132"/>
        <v>0</v>
      </c>
      <c r="AS35" s="29">
        <f t="shared" si="132"/>
        <v>0</v>
      </c>
      <c r="AT35" s="29">
        <f t="shared" si="132"/>
        <v>0</v>
      </c>
      <c r="AU35" s="29">
        <f t="shared" si="132"/>
        <v>0</v>
      </c>
      <c r="AV35" s="29">
        <f t="shared" si="132"/>
        <v>0</v>
      </c>
      <c r="AW35" s="29">
        <f t="shared" si="132"/>
        <v>0</v>
      </c>
      <c r="AX35" s="29">
        <f t="shared" si="132"/>
        <v>0</v>
      </c>
      <c r="AY35" s="29">
        <f t="shared" si="132"/>
        <v>0</v>
      </c>
      <c r="AZ35" s="29">
        <f t="shared" si="132"/>
        <v>0</v>
      </c>
      <c r="BA35" s="29">
        <f t="shared" si="132"/>
        <v>0</v>
      </c>
      <c r="BB35" s="29">
        <f t="shared" si="132"/>
        <v>0</v>
      </c>
      <c r="BC35" s="29">
        <f t="shared" si="132"/>
        <v>0</v>
      </c>
      <c r="BD35" s="29">
        <f t="shared" si="132"/>
        <v>0</v>
      </c>
      <c r="BE35" s="29">
        <f t="shared" si="132"/>
        <v>0</v>
      </c>
      <c r="BF35" s="29">
        <f t="shared" si="132"/>
        <v>0</v>
      </c>
      <c r="BG35" s="29">
        <f t="shared" si="132"/>
        <v>0</v>
      </c>
      <c r="BH35" s="29">
        <f t="shared" si="132"/>
        <v>0</v>
      </c>
      <c r="BI35" s="29">
        <f t="shared" si="132"/>
        <v>0</v>
      </c>
      <c r="BJ35" s="29">
        <f t="shared" si="132"/>
        <v>0</v>
      </c>
      <c r="BK35" s="29">
        <f t="shared" si="132"/>
        <v>0</v>
      </c>
      <c r="BL35" s="29">
        <f t="shared" si="132"/>
        <v>0</v>
      </c>
      <c r="BM35" s="29">
        <f t="shared" si="132"/>
        <v>0</v>
      </c>
      <c r="BN35" s="29">
        <f t="shared" si="132"/>
        <v>0</v>
      </c>
      <c r="BO35" s="29">
        <f t="shared" si="132"/>
        <v>0</v>
      </c>
      <c r="BP35" s="29">
        <f t="shared" si="132"/>
        <v>0</v>
      </c>
      <c r="BQ35" s="29">
        <f t="shared" si="132"/>
        <v>0</v>
      </c>
      <c r="BR35" s="29">
        <f t="shared" si="132"/>
        <v>0</v>
      </c>
      <c r="BS35" s="29">
        <f t="shared" si="132"/>
        <v>0</v>
      </c>
      <c r="BT35" s="29">
        <f t="shared" si="132"/>
        <v>0</v>
      </c>
      <c r="BU35" s="29">
        <f t="shared" si="132"/>
        <v>0</v>
      </c>
      <c r="BV35" s="29">
        <f t="shared" si="132"/>
        <v>0</v>
      </c>
      <c r="BW35" s="29">
        <f t="shared" si="131"/>
        <v>0</v>
      </c>
      <c r="BX35" s="29">
        <f t="shared" si="131"/>
        <v>0</v>
      </c>
      <c r="BY35" s="29">
        <f t="shared" si="131"/>
        <v>0</v>
      </c>
      <c r="BZ35" s="29">
        <f t="shared" si="131"/>
        <v>0</v>
      </c>
      <c r="CA35" s="29">
        <f t="shared" si="131"/>
        <v>0</v>
      </c>
      <c r="CB35" s="29">
        <f t="shared" si="131"/>
        <v>0</v>
      </c>
      <c r="CC35" s="29">
        <f t="shared" si="131"/>
        <v>0</v>
      </c>
      <c r="CD35" s="29">
        <f t="shared" si="131"/>
        <v>0</v>
      </c>
      <c r="CE35" s="29">
        <f t="shared" si="131"/>
        <v>0</v>
      </c>
      <c r="CF35" s="29">
        <f t="shared" si="131"/>
        <v>0</v>
      </c>
      <c r="CG35" s="29">
        <f t="shared" si="131"/>
        <v>0</v>
      </c>
      <c r="CH35" s="29">
        <f t="shared" si="131"/>
        <v>0</v>
      </c>
      <c r="CI35" s="29">
        <f t="shared" si="131"/>
        <v>0</v>
      </c>
      <c r="CJ35" s="29">
        <f t="shared" si="131"/>
        <v>0</v>
      </c>
      <c r="CK35" s="29">
        <f t="shared" si="131"/>
        <v>0</v>
      </c>
      <c r="CL35" s="29">
        <f t="shared" si="131"/>
        <v>0</v>
      </c>
      <c r="CM35" s="29">
        <f t="shared" si="131"/>
        <v>0</v>
      </c>
      <c r="CN35" s="29">
        <f t="shared" si="131"/>
        <v>0</v>
      </c>
    </row>
    <row r="36" spans="2:92" outlineLevel="1" x14ac:dyDescent="0.3">
      <c r="B36" s="30" t="s">
        <v>47</v>
      </c>
      <c r="C36" s="32"/>
      <c r="D36" s="32"/>
      <c r="E36" s="32"/>
      <c r="F36" s="33"/>
      <c r="G36" s="34"/>
      <c r="H36" s="34"/>
      <c r="I36" s="31"/>
      <c r="J36" s="29">
        <f t="shared" si="92"/>
        <v>0</v>
      </c>
      <c r="K36" s="29">
        <f t="shared" si="132"/>
        <v>0</v>
      </c>
      <c r="L36" s="29">
        <f t="shared" si="132"/>
        <v>0</v>
      </c>
      <c r="M36" s="29">
        <f t="shared" si="132"/>
        <v>0</v>
      </c>
      <c r="N36" s="29">
        <f t="shared" si="132"/>
        <v>0</v>
      </c>
      <c r="O36" s="29">
        <f t="shared" si="132"/>
        <v>0</v>
      </c>
      <c r="P36" s="29">
        <f t="shared" si="132"/>
        <v>0</v>
      </c>
      <c r="Q36" s="29">
        <f t="shared" si="132"/>
        <v>0</v>
      </c>
      <c r="R36" s="29">
        <f t="shared" si="132"/>
        <v>0</v>
      </c>
      <c r="S36" s="29">
        <f t="shared" si="132"/>
        <v>0</v>
      </c>
      <c r="T36" s="29">
        <f t="shared" si="132"/>
        <v>0</v>
      </c>
      <c r="U36" s="29">
        <f t="shared" si="132"/>
        <v>0</v>
      </c>
      <c r="V36" s="29">
        <f t="shared" si="132"/>
        <v>0</v>
      </c>
      <c r="W36" s="29">
        <f t="shared" si="132"/>
        <v>0</v>
      </c>
      <c r="X36" s="29">
        <f t="shared" si="132"/>
        <v>0</v>
      </c>
      <c r="Y36" s="29">
        <f t="shared" si="132"/>
        <v>0</v>
      </c>
      <c r="Z36" s="29">
        <f t="shared" si="132"/>
        <v>0</v>
      </c>
      <c r="AA36" s="29">
        <f t="shared" si="132"/>
        <v>0</v>
      </c>
      <c r="AB36" s="29">
        <f t="shared" si="132"/>
        <v>0</v>
      </c>
      <c r="AC36" s="29">
        <f t="shared" si="132"/>
        <v>0</v>
      </c>
      <c r="AD36" s="29">
        <f t="shared" si="132"/>
        <v>0</v>
      </c>
      <c r="AE36" s="29">
        <f t="shared" si="132"/>
        <v>0</v>
      </c>
      <c r="AF36" s="29">
        <f t="shared" si="132"/>
        <v>0</v>
      </c>
      <c r="AG36" s="29">
        <f t="shared" si="132"/>
        <v>0</v>
      </c>
      <c r="AH36" s="29">
        <f t="shared" si="132"/>
        <v>0</v>
      </c>
      <c r="AI36" s="29">
        <f t="shared" si="132"/>
        <v>0</v>
      </c>
      <c r="AJ36" s="29">
        <f t="shared" si="132"/>
        <v>0</v>
      </c>
      <c r="AK36" s="29">
        <f t="shared" si="132"/>
        <v>0</v>
      </c>
      <c r="AL36" s="29">
        <f t="shared" si="132"/>
        <v>0</v>
      </c>
      <c r="AM36" s="29">
        <f t="shared" si="132"/>
        <v>0</v>
      </c>
      <c r="AN36" s="29">
        <f t="shared" si="132"/>
        <v>0</v>
      </c>
      <c r="AO36" s="29">
        <f t="shared" si="132"/>
        <v>0</v>
      </c>
      <c r="AP36" s="29">
        <f t="shared" si="132"/>
        <v>0</v>
      </c>
      <c r="AQ36" s="29">
        <f t="shared" si="132"/>
        <v>0</v>
      </c>
      <c r="AR36" s="29">
        <f t="shared" si="132"/>
        <v>0</v>
      </c>
      <c r="AS36" s="29">
        <f t="shared" si="132"/>
        <v>0</v>
      </c>
      <c r="AT36" s="29">
        <f t="shared" si="132"/>
        <v>0</v>
      </c>
      <c r="AU36" s="29">
        <f t="shared" si="132"/>
        <v>0</v>
      </c>
      <c r="AV36" s="29">
        <f t="shared" si="132"/>
        <v>0</v>
      </c>
      <c r="AW36" s="29">
        <f t="shared" si="132"/>
        <v>0</v>
      </c>
      <c r="AX36" s="29">
        <f t="shared" si="132"/>
        <v>0</v>
      </c>
      <c r="AY36" s="29">
        <f t="shared" si="132"/>
        <v>0</v>
      </c>
      <c r="AZ36" s="29">
        <f t="shared" si="132"/>
        <v>0</v>
      </c>
      <c r="BA36" s="29">
        <f t="shared" si="132"/>
        <v>0</v>
      </c>
      <c r="BB36" s="29">
        <f t="shared" si="132"/>
        <v>0</v>
      </c>
      <c r="BC36" s="29">
        <f t="shared" si="132"/>
        <v>0</v>
      </c>
      <c r="BD36" s="29">
        <f t="shared" si="132"/>
        <v>0</v>
      </c>
      <c r="BE36" s="29">
        <f t="shared" si="132"/>
        <v>0</v>
      </c>
      <c r="BF36" s="29">
        <f t="shared" si="132"/>
        <v>0</v>
      </c>
      <c r="BG36" s="29">
        <f t="shared" si="132"/>
        <v>0</v>
      </c>
      <c r="BH36" s="29">
        <f t="shared" si="132"/>
        <v>0</v>
      </c>
      <c r="BI36" s="29">
        <f t="shared" si="132"/>
        <v>0</v>
      </c>
      <c r="BJ36" s="29">
        <f t="shared" si="132"/>
        <v>0</v>
      </c>
      <c r="BK36" s="29">
        <f t="shared" si="132"/>
        <v>0</v>
      </c>
      <c r="BL36" s="29">
        <f t="shared" si="132"/>
        <v>0</v>
      </c>
      <c r="BM36" s="29">
        <f t="shared" si="132"/>
        <v>0</v>
      </c>
      <c r="BN36" s="29">
        <f t="shared" si="132"/>
        <v>0</v>
      </c>
      <c r="BO36" s="29">
        <f t="shared" si="132"/>
        <v>0</v>
      </c>
      <c r="BP36" s="29">
        <f t="shared" si="132"/>
        <v>0</v>
      </c>
      <c r="BQ36" s="29">
        <f t="shared" si="132"/>
        <v>0</v>
      </c>
      <c r="BR36" s="29">
        <f t="shared" si="132"/>
        <v>0</v>
      </c>
      <c r="BS36" s="29">
        <f t="shared" si="132"/>
        <v>0</v>
      </c>
      <c r="BT36" s="29">
        <f t="shared" si="132"/>
        <v>0</v>
      </c>
      <c r="BU36" s="29">
        <f t="shared" si="132"/>
        <v>0</v>
      </c>
      <c r="BV36" s="29">
        <f t="shared" ref="BV36:CN37" si="133">IF(AND(BV$5&gt;=$G36,BV$5&lt;=$H36,$E36="Meilenstein"),1)+IF(AND(BV$5&gt;=$G36,BV$5&lt;=$H36,$E36="Ziel"),2)</f>
        <v>0</v>
      </c>
      <c r="BW36" s="29">
        <f t="shared" si="133"/>
        <v>0</v>
      </c>
      <c r="BX36" s="29">
        <f t="shared" si="133"/>
        <v>0</v>
      </c>
      <c r="BY36" s="29">
        <f t="shared" si="133"/>
        <v>0</v>
      </c>
      <c r="BZ36" s="29">
        <f t="shared" si="133"/>
        <v>0</v>
      </c>
      <c r="CA36" s="29">
        <f t="shared" si="133"/>
        <v>0</v>
      </c>
      <c r="CB36" s="29">
        <f t="shared" si="133"/>
        <v>0</v>
      </c>
      <c r="CC36" s="29">
        <f t="shared" si="133"/>
        <v>0</v>
      </c>
      <c r="CD36" s="29">
        <f t="shared" si="133"/>
        <v>0</v>
      </c>
      <c r="CE36" s="29">
        <f t="shared" si="133"/>
        <v>0</v>
      </c>
      <c r="CF36" s="29">
        <f t="shared" si="133"/>
        <v>0</v>
      </c>
      <c r="CG36" s="29">
        <f t="shared" si="133"/>
        <v>0</v>
      </c>
      <c r="CH36" s="29">
        <f t="shared" si="133"/>
        <v>0</v>
      </c>
      <c r="CI36" s="29">
        <f t="shared" si="133"/>
        <v>0</v>
      </c>
      <c r="CJ36" s="29">
        <f t="shared" si="133"/>
        <v>0</v>
      </c>
      <c r="CK36" s="29">
        <f t="shared" si="133"/>
        <v>0</v>
      </c>
      <c r="CL36" s="29">
        <f t="shared" si="133"/>
        <v>0</v>
      </c>
      <c r="CM36" s="29">
        <f t="shared" si="133"/>
        <v>0</v>
      </c>
      <c r="CN36" s="29">
        <f t="shared" si="133"/>
        <v>0</v>
      </c>
    </row>
    <row r="37" spans="2:92" outlineLevel="1" x14ac:dyDescent="0.3">
      <c r="B37" s="30"/>
      <c r="C37" s="32" t="s">
        <v>48</v>
      </c>
      <c r="D37" s="32" t="s">
        <v>49</v>
      </c>
      <c r="E37" s="32" t="s">
        <v>15</v>
      </c>
      <c r="F37" s="33">
        <v>1</v>
      </c>
      <c r="G37" s="34">
        <v>46045</v>
      </c>
      <c r="H37" s="34">
        <v>46050</v>
      </c>
      <c r="I37" s="31"/>
      <c r="J37" s="29">
        <f t="shared" si="92"/>
        <v>0</v>
      </c>
      <c r="K37" s="29">
        <f t="shared" ref="K37:BV37" si="134">IF(AND(K$5&gt;=$G37,K$5&lt;=$H37,$E37="Meilenstein"),1)+IF(AND(K$5&gt;=$G37,K$5&lt;=$H37,$E37="Ziel"),2)</f>
        <v>0</v>
      </c>
      <c r="L37" s="29">
        <f t="shared" si="134"/>
        <v>0</v>
      </c>
      <c r="M37" s="29">
        <f t="shared" si="134"/>
        <v>0</v>
      </c>
      <c r="N37" s="29">
        <f t="shared" si="134"/>
        <v>0</v>
      </c>
      <c r="O37" s="29">
        <f t="shared" si="134"/>
        <v>0</v>
      </c>
      <c r="P37" s="29">
        <f t="shared" si="134"/>
        <v>0</v>
      </c>
      <c r="Q37" s="29">
        <f t="shared" si="134"/>
        <v>0</v>
      </c>
      <c r="R37" s="29">
        <f t="shared" si="134"/>
        <v>0</v>
      </c>
      <c r="S37" s="29">
        <f t="shared" si="134"/>
        <v>0</v>
      </c>
      <c r="T37" s="29">
        <f t="shared" si="134"/>
        <v>0</v>
      </c>
      <c r="U37" s="29">
        <f t="shared" si="134"/>
        <v>0</v>
      </c>
      <c r="V37" s="29">
        <f t="shared" si="134"/>
        <v>0</v>
      </c>
      <c r="W37" s="29">
        <f t="shared" si="134"/>
        <v>0</v>
      </c>
      <c r="X37" s="29">
        <f t="shared" si="134"/>
        <v>0</v>
      </c>
      <c r="Y37" s="29">
        <f t="shared" si="134"/>
        <v>0</v>
      </c>
      <c r="Z37" s="29">
        <f t="shared" si="134"/>
        <v>0</v>
      </c>
      <c r="AA37" s="29">
        <f t="shared" si="134"/>
        <v>0</v>
      </c>
      <c r="AB37" s="29">
        <f t="shared" si="134"/>
        <v>0</v>
      </c>
      <c r="AC37" s="29">
        <f t="shared" si="134"/>
        <v>0</v>
      </c>
      <c r="AD37" s="29">
        <f t="shared" si="134"/>
        <v>0</v>
      </c>
      <c r="AE37" s="29">
        <f t="shared" si="134"/>
        <v>0</v>
      </c>
      <c r="AF37" s="29">
        <f t="shared" si="134"/>
        <v>0</v>
      </c>
      <c r="AG37" s="29">
        <f t="shared" si="134"/>
        <v>0</v>
      </c>
      <c r="AH37" s="29">
        <f t="shared" si="134"/>
        <v>0</v>
      </c>
      <c r="AI37" s="29">
        <f t="shared" si="134"/>
        <v>0</v>
      </c>
      <c r="AJ37" s="29">
        <f t="shared" si="134"/>
        <v>0</v>
      </c>
      <c r="AK37" s="29">
        <f t="shared" si="134"/>
        <v>0</v>
      </c>
      <c r="AL37" s="29">
        <f t="shared" si="134"/>
        <v>0</v>
      </c>
      <c r="AM37" s="29">
        <f t="shared" si="134"/>
        <v>0</v>
      </c>
      <c r="AN37" s="29">
        <f t="shared" si="134"/>
        <v>0</v>
      </c>
      <c r="AO37" s="29">
        <f t="shared" si="134"/>
        <v>0</v>
      </c>
      <c r="AP37" s="29">
        <f t="shared" si="134"/>
        <v>0</v>
      </c>
      <c r="AQ37" s="29">
        <f t="shared" si="134"/>
        <v>0</v>
      </c>
      <c r="AR37" s="29">
        <f t="shared" si="134"/>
        <v>0</v>
      </c>
      <c r="AS37" s="29">
        <f t="shared" si="134"/>
        <v>0</v>
      </c>
      <c r="AT37" s="29">
        <f t="shared" si="134"/>
        <v>0</v>
      </c>
      <c r="AU37" s="29">
        <f t="shared" si="134"/>
        <v>0</v>
      </c>
      <c r="AV37" s="29">
        <f t="shared" si="134"/>
        <v>0</v>
      </c>
      <c r="AW37" s="29">
        <f t="shared" si="134"/>
        <v>0</v>
      </c>
      <c r="AX37" s="29">
        <f t="shared" si="134"/>
        <v>0</v>
      </c>
      <c r="AY37" s="29">
        <f t="shared" si="134"/>
        <v>0</v>
      </c>
      <c r="AZ37" s="29">
        <f t="shared" si="134"/>
        <v>0</v>
      </c>
      <c r="BA37" s="29">
        <f t="shared" si="134"/>
        <v>0</v>
      </c>
      <c r="BB37" s="29">
        <f t="shared" si="134"/>
        <v>0</v>
      </c>
      <c r="BC37" s="29">
        <f t="shared" si="134"/>
        <v>0</v>
      </c>
      <c r="BD37" s="29">
        <f t="shared" si="134"/>
        <v>0</v>
      </c>
      <c r="BE37" s="29">
        <f t="shared" si="134"/>
        <v>0</v>
      </c>
      <c r="BF37" s="29">
        <f t="shared" si="134"/>
        <v>0</v>
      </c>
      <c r="BG37" s="29">
        <f t="shared" si="134"/>
        <v>0</v>
      </c>
      <c r="BH37" s="29">
        <f t="shared" si="134"/>
        <v>0</v>
      </c>
      <c r="BI37" s="29">
        <f t="shared" si="134"/>
        <v>0</v>
      </c>
      <c r="BJ37" s="29">
        <f t="shared" si="134"/>
        <v>0</v>
      </c>
      <c r="BK37" s="29">
        <f t="shared" si="134"/>
        <v>0</v>
      </c>
      <c r="BL37" s="29">
        <f t="shared" si="134"/>
        <v>0</v>
      </c>
      <c r="BM37" s="29">
        <f t="shared" si="134"/>
        <v>0</v>
      </c>
      <c r="BN37" s="29">
        <f t="shared" si="134"/>
        <v>0</v>
      </c>
      <c r="BO37" s="29">
        <f t="shared" si="134"/>
        <v>0</v>
      </c>
      <c r="BP37" s="29">
        <f t="shared" si="134"/>
        <v>0</v>
      </c>
      <c r="BQ37" s="29">
        <f t="shared" si="134"/>
        <v>0</v>
      </c>
      <c r="BR37" s="29">
        <f t="shared" si="134"/>
        <v>0</v>
      </c>
      <c r="BS37" s="29">
        <f t="shared" si="134"/>
        <v>0</v>
      </c>
      <c r="BT37" s="29">
        <f t="shared" si="134"/>
        <v>0</v>
      </c>
      <c r="BU37" s="29">
        <f t="shared" si="134"/>
        <v>0</v>
      </c>
      <c r="BV37" s="29">
        <f t="shared" si="134"/>
        <v>0</v>
      </c>
      <c r="BW37" s="29">
        <f t="shared" si="133"/>
        <v>0</v>
      </c>
      <c r="BX37" s="29">
        <f t="shared" si="133"/>
        <v>0</v>
      </c>
      <c r="BY37" s="29">
        <f t="shared" si="133"/>
        <v>0</v>
      </c>
      <c r="BZ37" s="29">
        <f t="shared" si="133"/>
        <v>0</v>
      </c>
      <c r="CA37" s="29">
        <f t="shared" si="133"/>
        <v>0</v>
      </c>
      <c r="CB37" s="29">
        <f t="shared" si="133"/>
        <v>0</v>
      </c>
      <c r="CC37" s="29">
        <f t="shared" si="133"/>
        <v>0</v>
      </c>
      <c r="CD37" s="29">
        <f t="shared" si="133"/>
        <v>0</v>
      </c>
      <c r="CE37" s="29">
        <f t="shared" si="133"/>
        <v>0</v>
      </c>
      <c r="CF37" s="29">
        <f t="shared" si="133"/>
        <v>0</v>
      </c>
      <c r="CG37" s="29">
        <f t="shared" si="133"/>
        <v>0</v>
      </c>
      <c r="CH37" s="29">
        <f t="shared" si="133"/>
        <v>0</v>
      </c>
      <c r="CI37" s="29">
        <f t="shared" si="133"/>
        <v>0</v>
      </c>
      <c r="CJ37" s="29">
        <f t="shared" si="133"/>
        <v>0</v>
      </c>
      <c r="CK37" s="29">
        <f t="shared" si="133"/>
        <v>0</v>
      </c>
      <c r="CL37" s="29">
        <f t="shared" si="133"/>
        <v>0</v>
      </c>
      <c r="CM37" s="29">
        <f t="shared" si="133"/>
        <v>0</v>
      </c>
      <c r="CN37" s="29">
        <f t="shared" si="133"/>
        <v>0</v>
      </c>
    </row>
    <row r="38" spans="2:92" x14ac:dyDescent="0.3">
      <c r="B38" s="30"/>
      <c r="C38" s="32"/>
      <c r="D38" s="32"/>
      <c r="E38" s="32"/>
      <c r="F38" s="33"/>
      <c r="G38" s="34"/>
      <c r="H38" s="34"/>
      <c r="I38" s="31"/>
      <c r="J38" s="29">
        <f t="shared" ref="J38:Y38" si="135">IF(AND(J$5&gt;=$G38,J$5&lt;=$H38,$E38="Meilenstein"),1)+IF(AND(J$5&gt;=$G38,J$5&lt;=$H38,$E38="Ziel"),2)</f>
        <v>0</v>
      </c>
      <c r="K38" s="29">
        <f t="shared" si="135"/>
        <v>0</v>
      </c>
      <c r="L38" s="29">
        <f t="shared" si="135"/>
        <v>0</v>
      </c>
      <c r="M38" s="29">
        <f t="shared" si="135"/>
        <v>0</v>
      </c>
      <c r="N38" s="29">
        <f t="shared" si="135"/>
        <v>0</v>
      </c>
      <c r="O38" s="29">
        <f t="shared" si="135"/>
        <v>0</v>
      </c>
      <c r="P38" s="29">
        <f t="shared" si="135"/>
        <v>0</v>
      </c>
      <c r="Q38" s="29">
        <f t="shared" si="135"/>
        <v>0</v>
      </c>
      <c r="R38" s="29">
        <f t="shared" si="135"/>
        <v>0</v>
      </c>
      <c r="S38" s="29">
        <f t="shared" si="135"/>
        <v>0</v>
      </c>
      <c r="T38" s="29">
        <f t="shared" si="135"/>
        <v>0</v>
      </c>
      <c r="U38" s="29">
        <f t="shared" si="135"/>
        <v>0</v>
      </c>
      <c r="V38" s="29">
        <f t="shared" si="135"/>
        <v>0</v>
      </c>
      <c r="W38" s="29">
        <f t="shared" si="135"/>
        <v>0</v>
      </c>
      <c r="X38" s="29">
        <f t="shared" si="135"/>
        <v>0</v>
      </c>
      <c r="Y38" s="29">
        <f t="shared" si="135"/>
        <v>0</v>
      </c>
      <c r="Z38" s="29">
        <f t="shared" ref="Z38:CK38" si="136">IF(AND(Z$5&gt;=$G38,Z$5&lt;=$H38,$E38="Meilenstein"),1)+IF(AND(Z$5&gt;=$G38,Z$5&lt;=$H38,$E38="Ziel"),2)</f>
        <v>0</v>
      </c>
      <c r="AA38" s="29">
        <f t="shared" si="136"/>
        <v>0</v>
      </c>
      <c r="AB38" s="29">
        <f t="shared" si="136"/>
        <v>0</v>
      </c>
      <c r="AC38" s="29">
        <f t="shared" si="136"/>
        <v>0</v>
      </c>
      <c r="AD38" s="29">
        <f t="shared" si="136"/>
        <v>0</v>
      </c>
      <c r="AE38" s="29">
        <f t="shared" si="136"/>
        <v>0</v>
      </c>
      <c r="AF38" s="29">
        <f t="shared" si="136"/>
        <v>0</v>
      </c>
      <c r="AG38" s="29">
        <f t="shared" si="136"/>
        <v>0</v>
      </c>
      <c r="AH38" s="29">
        <f t="shared" si="136"/>
        <v>0</v>
      </c>
      <c r="AI38" s="29">
        <f t="shared" si="136"/>
        <v>0</v>
      </c>
      <c r="AJ38" s="29">
        <f t="shared" si="136"/>
        <v>0</v>
      </c>
      <c r="AK38" s="29">
        <f t="shared" si="136"/>
        <v>0</v>
      </c>
      <c r="AL38" s="29">
        <f t="shared" si="136"/>
        <v>0</v>
      </c>
      <c r="AM38" s="29">
        <f t="shared" si="136"/>
        <v>0</v>
      </c>
      <c r="AN38" s="29">
        <f t="shared" si="136"/>
        <v>0</v>
      </c>
      <c r="AO38" s="29">
        <f t="shared" si="136"/>
        <v>0</v>
      </c>
      <c r="AP38" s="29">
        <f t="shared" si="136"/>
        <v>0</v>
      </c>
      <c r="AQ38" s="29">
        <f t="shared" si="136"/>
        <v>0</v>
      </c>
      <c r="AR38" s="29">
        <f t="shared" si="136"/>
        <v>0</v>
      </c>
      <c r="AS38" s="29">
        <f t="shared" si="136"/>
        <v>0</v>
      </c>
      <c r="AT38" s="29">
        <f t="shared" si="136"/>
        <v>0</v>
      </c>
      <c r="AU38" s="29">
        <f t="shared" si="136"/>
        <v>0</v>
      </c>
      <c r="AV38" s="29">
        <f t="shared" si="136"/>
        <v>0</v>
      </c>
      <c r="AW38" s="29">
        <f t="shared" si="136"/>
        <v>0</v>
      </c>
      <c r="AX38" s="29">
        <f t="shared" si="136"/>
        <v>0</v>
      </c>
      <c r="AY38" s="29">
        <f t="shared" si="136"/>
        <v>0</v>
      </c>
      <c r="AZ38" s="29">
        <f t="shared" si="136"/>
        <v>0</v>
      </c>
      <c r="BA38" s="29">
        <f t="shared" si="136"/>
        <v>0</v>
      </c>
      <c r="BB38" s="29">
        <f t="shared" si="136"/>
        <v>0</v>
      </c>
      <c r="BC38" s="29">
        <f t="shared" si="136"/>
        <v>0</v>
      </c>
      <c r="BD38" s="29">
        <f t="shared" si="136"/>
        <v>0</v>
      </c>
      <c r="BE38" s="29">
        <f t="shared" si="136"/>
        <v>0</v>
      </c>
      <c r="BF38" s="29">
        <f t="shared" si="136"/>
        <v>0</v>
      </c>
      <c r="BG38" s="29">
        <f t="shared" si="136"/>
        <v>0</v>
      </c>
      <c r="BH38" s="29">
        <f t="shared" si="136"/>
        <v>0</v>
      </c>
      <c r="BI38" s="29">
        <f t="shared" si="136"/>
        <v>0</v>
      </c>
      <c r="BJ38" s="29">
        <f t="shared" si="136"/>
        <v>0</v>
      </c>
      <c r="BK38" s="29">
        <f t="shared" si="136"/>
        <v>0</v>
      </c>
      <c r="BL38" s="29">
        <f t="shared" si="136"/>
        <v>0</v>
      </c>
      <c r="BM38" s="29">
        <f t="shared" si="136"/>
        <v>0</v>
      </c>
      <c r="BN38" s="29">
        <f t="shared" si="136"/>
        <v>0</v>
      </c>
      <c r="BO38" s="29">
        <f t="shared" si="136"/>
        <v>0</v>
      </c>
      <c r="BP38" s="29">
        <f t="shared" si="136"/>
        <v>0</v>
      </c>
      <c r="BQ38" s="29">
        <f t="shared" si="136"/>
        <v>0</v>
      </c>
      <c r="BR38" s="29">
        <f t="shared" si="136"/>
        <v>0</v>
      </c>
      <c r="BS38" s="29">
        <f t="shared" si="136"/>
        <v>0</v>
      </c>
      <c r="BT38" s="29">
        <f t="shared" si="136"/>
        <v>0</v>
      </c>
      <c r="BU38" s="29">
        <f t="shared" si="136"/>
        <v>0</v>
      </c>
      <c r="BV38" s="29">
        <f t="shared" si="136"/>
        <v>0</v>
      </c>
      <c r="BW38" s="29">
        <f t="shared" si="136"/>
        <v>0</v>
      </c>
      <c r="BX38" s="29">
        <f t="shared" si="136"/>
        <v>0</v>
      </c>
      <c r="BY38" s="29">
        <f t="shared" si="136"/>
        <v>0</v>
      </c>
      <c r="BZ38" s="29">
        <f t="shared" si="136"/>
        <v>0</v>
      </c>
      <c r="CA38" s="29">
        <f t="shared" si="136"/>
        <v>0</v>
      </c>
      <c r="CB38" s="29">
        <f t="shared" si="136"/>
        <v>0</v>
      </c>
      <c r="CC38" s="29">
        <f t="shared" si="136"/>
        <v>0</v>
      </c>
      <c r="CD38" s="29">
        <f t="shared" si="136"/>
        <v>0</v>
      </c>
      <c r="CE38" s="29">
        <f t="shared" si="136"/>
        <v>0</v>
      </c>
      <c r="CF38" s="29">
        <f t="shared" si="136"/>
        <v>0</v>
      </c>
      <c r="CG38" s="29">
        <f t="shared" si="136"/>
        <v>0</v>
      </c>
      <c r="CH38" s="29">
        <f t="shared" si="136"/>
        <v>0</v>
      </c>
      <c r="CI38" s="29">
        <f t="shared" si="136"/>
        <v>0</v>
      </c>
      <c r="CJ38" s="29">
        <f t="shared" si="136"/>
        <v>0</v>
      </c>
      <c r="CK38" s="29">
        <f t="shared" si="136"/>
        <v>0</v>
      </c>
      <c r="CL38" s="29">
        <f t="shared" ref="CL38:CN38" si="137">IF(AND(CL$5&gt;=$G38,CL$5&lt;=$H38,$E38="Meilenstein"),1)+IF(AND(CL$5&gt;=$G38,CL$5&lt;=$H38,$E38="Ziel"),2)</f>
        <v>0</v>
      </c>
      <c r="CM38" s="29">
        <f t="shared" si="137"/>
        <v>0</v>
      </c>
      <c r="CN38" s="29">
        <f t="shared" si="137"/>
        <v>0</v>
      </c>
    </row>
  </sheetData>
  <phoneticPr fontId="1" type="noConversion"/>
  <conditionalFormatting sqref="G15:I15 B15:E15 B16:I21 B7:I14 D24:I26 E27:I28 B24:C28 B29:B30 C30 D29:I37 B31:C37 B38:I38">
    <cfRule type="expression" dxfId="14" priority="163">
      <formula>$B7&lt;&gt;""</formula>
    </cfRule>
  </conditionalFormatting>
  <conditionalFormatting sqref="D22:I23 B22:B23">
    <cfRule type="expression" dxfId="13" priority="231">
      <formula>#REF!&lt;&gt;""</formula>
    </cfRule>
  </conditionalFormatting>
  <conditionalFormatting sqref="E7:E38">
    <cfRule type="containsText" dxfId="12" priority="1" operator="containsText" text="Ziel">
      <formula>NOT(ISERROR(SEARCH("Ziel",E7)))</formula>
    </cfRule>
    <cfRule type="containsText" dxfId="11" priority="2" operator="containsText" text="Meilenstein">
      <formula>NOT(ISERROR(SEARCH("Meilenstein",E7)))</formula>
    </cfRule>
    <cfRule type="containsText" dxfId="10" priority="221" operator="containsText" text="Abgeschlossen">
      <formula>NOT(ISERROR(SEARCH("Abgeschlossen",E7)))</formula>
    </cfRule>
    <cfRule type="containsText" dxfId="9" priority="222" operator="containsText" text="Überprüfung">
      <formula>NOT(ISERROR(SEARCH("Überprüfung",E7)))</formula>
    </cfRule>
    <cfRule type="containsText" dxfId="8" priority="223" operator="containsText" text="offen">
      <formula>NOT(ISERROR(SEARCH("offen",E7)))</formula>
    </cfRule>
    <cfRule type="containsText" dxfId="7" priority="224" operator="containsText" text="in Arbeit">
      <formula>NOT(ISERROR(SEARCH("in Arbeit",E7)))</formula>
    </cfRule>
  </conditionalFormatting>
  <conditionalFormatting sqref="F7:F38">
    <cfRule type="dataBar" priority="198">
      <dataBar>
        <cfvo type="num" val="0"/>
        <cfvo type="num" val="1"/>
        <color rgb="FF638EC6"/>
      </dataBar>
      <extLst>
        <ext xmlns:x14="http://schemas.microsoft.com/office/spreadsheetml/2009/9/main" uri="{B025F937-C7B1-47D3-B67F-A62EFF666E3E}">
          <x14:id>{E8B11A4F-D304-4A78-A5AB-1A38020AEC1C}</x14:id>
        </ext>
      </extLst>
    </cfRule>
  </conditionalFormatting>
  <conditionalFormatting sqref="J5:CN38">
    <cfRule type="expression" dxfId="6" priority="5">
      <formula>J$5=TODAY()</formula>
    </cfRule>
  </conditionalFormatting>
  <conditionalFormatting sqref="J7:CN38">
    <cfRule type="expression" dxfId="5" priority="7">
      <formula>AND(J$5&gt;=$G7,J$5&lt;=$H7,$E7="Abgeschlossen")</formula>
    </cfRule>
    <cfRule type="expression" dxfId="4" priority="8">
      <formula>AND(J$5&gt;=$G7,J$5&lt;=$H7,$E7="Überprüfung")</formula>
    </cfRule>
    <cfRule type="expression" dxfId="3" priority="9">
      <formula>AND(J$5&gt;=$G7,J$5&lt;=$H7,$E7="offen")</formula>
    </cfRule>
    <cfRule type="expression" dxfId="2" priority="10">
      <formula>AND(J$5&gt;=$G7,J$5&lt;=$H7,$E7="in Arbeit")</formula>
    </cfRule>
  </conditionalFormatting>
  <conditionalFormatting sqref="F15">
    <cfRule type="expression" dxfId="1" priority="278">
      <formula>$B12&lt;&gt;""</formula>
    </cfRule>
  </conditionalFormatting>
  <conditionalFormatting sqref="D27">
    <cfRule type="expression" dxfId="0" priority="280">
      <formula>$B28&lt;&gt;""</formula>
    </cfRule>
  </conditionalFormatting>
  <dataValidations count="5">
    <dataValidation allowBlank="1" showInputMessage="1" showErrorMessage="1" prompt="Erstellen Sie in dieser Arbeitsmappe eine Aufgabenliste für Projekte. Geben Sie die Projektdetails für Projekt 1 auf diesem Arbeitsblatt und Details zu Projekt 2 und Projekt 3 auf den nachfolgenden Arbeitsblättern ein." sqref="A1" xr:uid="{00000000-0002-0000-0000-000000000000}"/>
    <dataValidation allowBlank="1" showInputMessage="1" showErrorMessage="1" prompt="Geben Sie den Namen der abschließenden Person in dieser Zelle ein." sqref="H1" xr:uid="{00000000-0002-0000-0000-000001000000}"/>
    <dataValidation allowBlank="1" showErrorMessage="1" sqref="H29:H37 G24:H28 G37 D22:D23 B6:H6 C8:D21 F7:H23 D27 C24:D26 C31:D37 D29:D30 C30 C27:C28 B7:B38 D38 F24:F38 C38" xr:uid="{9AB7C6A0-D046-414A-BCC9-864AB82933F5}"/>
    <dataValidation allowBlank="1" showInputMessage="1" showErrorMessage="1" prompt="Der Titel des Arbeitsblatts befindet sich in dieser Zelle. Geben Sie den Namen der Person, die dieses Projekt abschließen soll, in der Zelle rechts und den Stichtag in Zelle E2 ein. Geben Sie Projektdetails in der Tabelle ein, die in Zelle B3 beginnt." sqref="C3 C1" xr:uid="{00000000-0002-0000-0000-000007000000}"/>
    <dataValidation type="whole" operator="greaterThanOrEqual" allowBlank="1" showInputMessage="1" promptTitle="Scrollschrittweite" prompt="Das Ändern dieser Zahl bewirkt ein Scrollen in der Gantt-Diagrammansicht." sqref="C4" xr:uid="{96A20DA6-99C3-4B2B-980A-AA78068CB19B}">
      <formula1>0</formula1>
    </dataValidation>
  </dataValidations>
  <printOptions horizontalCentered="1"/>
  <pageMargins left="0.75" right="0.75" top="1" bottom="1" header="0.5" footer="0.5"/>
  <pageSetup scale="86" fitToHeight="0" orientation="landscape" r:id="rId1"/>
  <headerFooter differentFirst="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B11A4F-D304-4A78-A5AB-1A38020AEC1C}">
            <x14:dataBar minLength="0" maxLength="100" gradient="0">
              <x14:cfvo type="num">
                <xm:f>0</xm:f>
              </x14:cfvo>
              <x14:cfvo type="num">
                <xm:f>1</xm:f>
              </x14:cfvo>
              <x14:negativeFillColor rgb="FFFF0000"/>
              <x14:axisColor rgb="FF000000"/>
            </x14:dataBar>
          </x14:cfRule>
          <xm:sqref>F7:F38</xm:sqref>
        </x14:conditionalFormatting>
        <x14:conditionalFormatting xmlns:xm="http://schemas.microsoft.com/office/excel/2006/main">
          <x14:cfRule type="iconSet" priority="359" id="{12C6DCDA-F65D-4B28-B231-D5F9AF8B25D0}">
            <x14:iconSet iconSet="3Stars" showValue="0" custom="1">
              <x14:cfvo type="percent">
                <xm:f>0</xm:f>
              </x14:cfvo>
              <x14:cfvo type="num">
                <xm:f>1</xm:f>
              </x14:cfvo>
              <x14:cfvo type="num">
                <xm:f>2</xm:f>
              </x14:cfvo>
              <x14:cfIcon iconSet="NoIcons" iconId="0"/>
              <x14:cfIcon iconSet="3Flags" iconId="1"/>
              <x14:cfIcon iconSet="3Signs" iconId="0"/>
            </x14:iconSet>
          </x14:cfRule>
          <xm:sqref>J7:CN37</xm:sqref>
        </x14:conditionalFormatting>
        <x14:conditionalFormatting xmlns:xm="http://schemas.microsoft.com/office/excel/2006/main">
          <x14:cfRule type="iconSet" priority="360" id="{2FDD2C8D-2A4B-4492-91EC-7A22B57F2A04}">
            <x14:iconSet iconSet="3Stars" showValue="0" custom="1">
              <x14:cfvo type="percent">
                <xm:f>0</xm:f>
              </x14:cfvo>
              <x14:cfvo type="num">
                <xm:f>1</xm:f>
              </x14:cfvo>
              <x14:cfvo type="num">
                <xm:f>2</xm:f>
              </x14:cfvo>
              <x14:cfIcon iconSet="NoIcons" iconId="0"/>
              <x14:cfIcon iconSet="3Flags" iconId="1"/>
              <x14:cfIcon iconSet="3Signs" iconId="0"/>
            </x14:iconSet>
          </x14:cfRule>
          <xm:sqref>J38:CN38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xr:uid="{37A12F27-5AD5-46E8-A88C-D1762A54C36B}">
          <x14:formula1>
            <xm:f>Datenblatt!$A$3:$A$8</xm:f>
          </x14:formula1>
          <xm:sqref>E7:E38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BCE3-3FF2-4D87-BE38-450785879F32}">
  <dimension ref="A2:E6"/>
  <sheetViews>
    <sheetView workbookViewId="0">
      <selection activeCell="D20" sqref="D20"/>
    </sheetView>
  </sheetViews>
  <sheetFormatPr baseColWidth="10" defaultColWidth="11" defaultRowHeight="14.5" x14ac:dyDescent="0.35"/>
  <cols>
    <col min="1" max="1" width="26.83203125" style="1" customWidth="1"/>
    <col min="2" max="2" width="7.25" style="1" bestFit="1" customWidth="1"/>
    <col min="3" max="3" width="14.83203125" style="1" bestFit="1" customWidth="1"/>
    <col min="4" max="4" width="28.33203125" style="1" bestFit="1" customWidth="1"/>
    <col min="5" max="5" width="37.58203125" style="1" customWidth="1"/>
    <col min="6" max="16384" width="11" style="1"/>
  </cols>
  <sheetData>
    <row r="2" spans="1:5" x14ac:dyDescent="0.35">
      <c r="A2" s="2" t="s">
        <v>9</v>
      </c>
      <c r="B2" s="2" t="s">
        <v>50</v>
      </c>
      <c r="C2" s="2"/>
      <c r="D2" s="2"/>
      <c r="E2" s="2"/>
    </row>
    <row r="3" spans="1:5" x14ac:dyDescent="0.35">
      <c r="A3" s="9" t="s">
        <v>51</v>
      </c>
      <c r="B3" s="1" t="s">
        <v>52</v>
      </c>
    </row>
    <row r="4" spans="1:5" x14ac:dyDescent="0.35">
      <c r="A4" s="8" t="s">
        <v>53</v>
      </c>
      <c r="B4" s="1" t="s">
        <v>54</v>
      </c>
    </row>
    <row r="5" spans="1:5" x14ac:dyDescent="0.35">
      <c r="A5" s="10" t="s">
        <v>55</v>
      </c>
      <c r="B5" s="1" t="s">
        <v>56</v>
      </c>
    </row>
    <row r="6" spans="1:5" x14ac:dyDescent="0.35">
      <c r="A6" s="11" t="s">
        <v>15</v>
      </c>
    </row>
  </sheetData>
  <sortState xmlns:xlrd2="http://schemas.microsoft.com/office/spreadsheetml/2017/richdata2" ref="D3:D8">
    <sortCondition ref="D3:D8"/>
  </sortState>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3F7D94069FF64A86F7DFF56D60E3BE" ma:contentTypeVersion="6" ma:contentTypeDescription="Create a new document." ma:contentTypeScope="" ma:versionID="31d92cf942c19623f8ea37c5ae89e9e4">
  <xsd:schema xmlns:xsd="http://www.w3.org/2001/XMLSchema" xmlns:xs="http://www.w3.org/2001/XMLSchema" xmlns:p="http://schemas.microsoft.com/office/2006/metadata/properties" xmlns:ns2="a4f35948-e619-41b3-aa29-22878b09cfd2" xmlns:ns3="40262f94-9f35-4ac3-9a90-690165a166b7" targetNamespace="http://schemas.microsoft.com/office/2006/metadata/properties" ma:root="true" ma:fieldsID="5ae4c53a902569674f13d354e575c07c" ns2:_="" ns3:_="">
    <xsd:import namespace="a4f35948-e619-41b3-aa29-22878b09cfd2"/>
    <xsd:import namespace="40262f94-9f35-4ac3-9a90-690165a166b7"/>
    <xsd:element name="properties">
      <xsd:complexType>
        <xsd:sequence>
          <xsd:element name="documentManagement">
            <xsd:complexType>
              <xsd:all>
                <xsd:element ref="ns2:SharedWithUsers" minOccurs="0"/>
                <xsd:element ref="ns2:SharedWithDetails" minOccurs="0"/>
                <xsd:element ref="ns3:VSO_x0020_item_x0020_id" minOccurs="0"/>
                <xsd:element ref="ns3:Item_x0020_Details" minOccurs="0"/>
                <xsd:element ref="ns3:Template_x0020_details" minOccurs="0"/>
                <xsd:element ref="ns3:Assetid_x002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f35948-e619-41b3-aa29-22878b09cfd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262f94-9f35-4ac3-9a90-690165a166b7" elementFormDefault="qualified">
    <xsd:import namespace="http://schemas.microsoft.com/office/2006/documentManagement/types"/>
    <xsd:import namespace="http://schemas.microsoft.com/office/infopath/2007/PartnerControls"/>
    <xsd:element name="VSO_x0020_item_x0020_id" ma:index="10" nillable="true" ma:displayName="VSO item id" ma:description="Please add the bug number to refer to VSO items." ma:internalName="VSO_x0020_item_x0020_id">
      <xsd:simpleType>
        <xsd:restriction base="dms:Text">
          <xsd:maxLength value="255"/>
        </xsd:restriction>
      </xsd:simpleType>
    </xsd:element>
    <xsd:element name="Item_x0020_Details" ma:index="11" nillable="true" ma:displayName="Item Details" ma:internalName="Item_x0020_Details">
      <xsd:simpleType>
        <xsd:restriction base="dms:Note">
          <xsd:maxLength value="255"/>
        </xsd:restriction>
      </xsd:simpleType>
    </xsd:element>
    <xsd:element name="Template_x0020_details" ma:index="12" nillable="true" ma:displayName="Template details" ma:internalName="Template_x0020_details">
      <xsd:simpleType>
        <xsd:restriction base="dms:Text"/>
      </xsd:simpleType>
    </xsd:element>
    <xsd:element name="Assetid_x0020_" ma:index="13" nillable="true" ma:displayName="Assetid " ma:internalName="Assetid_x0020_">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VSO_x0020_item_x0020_id xmlns="40262f94-9f35-4ac3-9a90-690165a166b7" xsi:nil="true"/>
    <Assetid_x0020_ xmlns="40262f94-9f35-4ac3-9a90-690165a166b7" xsi:nil="true"/>
    <Item_x0020_Details xmlns="40262f94-9f35-4ac3-9a90-690165a166b7" xsi:nil="true"/>
    <Template_x0020_details xmlns="40262f94-9f35-4ac3-9a90-690165a166b7" xsi:nil="true"/>
  </documentManagement>
</p:properties>
</file>

<file path=customXml/item4.xml>��
</file>

<file path=customXml/itemProps1.xml><?xml version="1.0" encoding="utf-8"?>
<ds:datastoreItem xmlns:ds="http://schemas.openxmlformats.org/officeDocument/2006/customXml" ds:itemID="{AD6F333A-FB7A-4713-AA13-3301CC37B3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f35948-e619-41b3-aa29-22878b09cfd2"/>
    <ds:schemaRef ds:uri="40262f94-9f35-4ac3-9a90-690165a166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30400F-CAE8-4146-AE00-683424BA2263}">
  <ds:schemaRefs>
    <ds:schemaRef ds:uri="http://schemas.microsoft.com/sharepoint/v3/contenttype/forms"/>
  </ds:schemaRefs>
</ds:datastoreItem>
</file>

<file path=customXml/itemProps3.xml><?xml version="1.0" encoding="utf-8"?>
<ds:datastoreItem xmlns:ds="http://schemas.openxmlformats.org/officeDocument/2006/customXml" ds:itemID="{3511A8E7-3D57-4C93-9399-7802901BCCB1}">
  <ds:schemaRefs>
    <ds:schemaRef ds:uri="http://schemas.microsoft.com/office/2006/documentManagement/types"/>
    <ds:schemaRef ds:uri="40262f94-9f35-4ac3-9a90-690165a166b7"/>
    <ds:schemaRef ds:uri="http://purl.org/dc/dcmitype/"/>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a4f35948-e619-41b3-aa29-22878b09cfd2"/>
    <ds:schemaRef ds:uri="http://schemas.microsoft.com/office/2006/metadata/properties"/>
  </ds:schemaRefs>
</ds:datastoreItem>
</file>

<file path=customXml/itemProps4.xml><?xml version="1.0" encoding="utf-8"?>
<ds:datastoreItem xmlns:ds="http://schemas.openxmlformats.org/officeDocument/2006/customXml" ds:itemID="{5EC284FC-22D1-4CE2-8A6D-8C087BBED3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4</vt:i4>
      </vt:variant>
    </vt:vector>
  </HeadingPairs>
  <TitlesOfParts>
    <vt:vector size="6" baseType="lpstr">
      <vt:lpstr>Projektplan</vt:lpstr>
      <vt:lpstr>Datenblatt</vt:lpstr>
      <vt:lpstr>Projektplan!Print_Titles</vt:lpstr>
      <vt:lpstr>Projektplan!Scrollschrittweite</vt:lpstr>
      <vt:lpstr>Startdatum</vt:lpstr>
      <vt:lpstr>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Scheufler, Deanna</dc:creator>
  <cp:keywords/>
  <dc:description/>
  <cp:lastModifiedBy>Claire Doerr</cp:lastModifiedBy>
  <cp:revision/>
  <dcterms:created xsi:type="dcterms:W3CDTF">2017-07-21T20:08:55Z</dcterms:created>
  <dcterms:modified xsi:type="dcterms:W3CDTF">2026-02-12T09:20:55Z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0x010100AA3F7D94069FF64A86F7DFF56D60E3BE</vt:lpwstr>
  </property>
</Properties>
</file>